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4"/>
    <sheet state="visible" name="Clients" sheetId="2" r:id="rId5"/>
    <sheet state="visible" name="Services" sheetId="3" r:id="rId6"/>
    <sheet state="visible" name="Settings" sheetId="4" r:id="rId7"/>
    <sheet state="visible" name="Statistics" sheetId="5" r:id="rId8"/>
  </sheets>
  <definedNames>
    <definedName hidden="1" localSheetId="0" name="_xlnm._FilterDatabase">Invoices!$A$1:$P$15</definedName>
    <definedName hidden="1" localSheetId="3" name="_xlnm._FilterDatabase">Settings!$A$1:$B$14</definedName>
  </definedNames>
  <calcPr/>
</workbook>
</file>

<file path=xl/sharedStrings.xml><?xml version="1.0" encoding="utf-8"?>
<sst xmlns="http://schemas.openxmlformats.org/spreadsheetml/2006/main" count="202" uniqueCount="134">
  <si>
    <t>InvoiceID</t>
  </si>
  <si>
    <t>InvoiceDate</t>
  </si>
  <si>
    <t>ClientName</t>
  </si>
  <si>
    <t>ClientEmail</t>
  </si>
  <si>
    <t>ClientPhone</t>
  </si>
  <si>
    <t>ClientAddress</t>
  </si>
  <si>
    <t>Description</t>
  </si>
  <si>
    <t>Quantity</t>
  </si>
  <si>
    <t>UnitPrice</t>
  </si>
  <si>
    <t>TVA</t>
  </si>
  <si>
    <t>TotalAmount</t>
  </si>
  <si>
    <t>Status</t>
  </si>
  <si>
    <t>PDFUrl</t>
  </si>
  <si>
    <t>CreatedAt</t>
  </si>
  <si>
    <t xml:space="preserve">       GeneratedAt</t>
  </si>
  <si>
    <t xml:space="preserve">     SentAt</t>
  </si>
  <si>
    <t>INV2025-CLI-001-0002</t>
  </si>
  <si>
    <t>John Smith</t>
  </si>
  <si>
    <t>john@example.com</t>
  </si>
  <si>
    <t>+1-555-0123</t>
  </si>
  <si>
    <t>123 Main Street, City, State 12345</t>
  </si>
  <si>
    <t>Web Design Services</t>
  </si>
  <si>
    <t>Generated</t>
  </si>
  <si>
    <t>https://drive.google.com/file/d/1stYGn55MaAF4bs5lvYEjyYE2dg6DYV2W/view?usp=drivesdk</t>
  </si>
  <si>
    <t>INV2025-010</t>
  </si>
  <si>
    <t>Jane Doe</t>
  </si>
  <si>
    <t>jane@example.com</t>
  </si>
  <si>
    <t>456 Oak Avenue, City, State 67890</t>
  </si>
  <si>
    <t>Consultation stratégique 1h</t>
  </si>
  <si>
    <t>https://drive.google.com/file/d/1dBOLXcn0xdP1eFcjSMk7QwwDoIXlK780/view?usp=drivesdk</t>
  </si>
  <si>
    <t>INV2025-CLI-004-0001</t>
  </si>
  <si>
    <t>bebe Corp</t>
  </si>
  <si>
    <t>xxx@tpmn.app</t>
  </si>
  <si>
    <t>allee du roi</t>
  </si>
  <si>
    <t>Création site web</t>
  </si>
  <si>
    <t>https://drive.google.com/file/d/1R-zdo02XnSFrvLlvxTSCkJdgj2moJvHl/view?usp=drivesdk</t>
  </si>
  <si>
    <t>INV2025-CLI-003-0001</t>
  </si>
  <si>
    <t>Acme Corp</t>
  </si>
  <si>
    <t>billing@acmecorp.com</t>
  </si>
  <si>
    <t>789 Business Blvd, City, State 13579</t>
  </si>
  <si>
    <t>Sent</t>
  </si>
  <si>
    <t>https://drive.google.com/file/d/1bv020oEcE3I9CfQ3GaAIsdEw47PQMOyO/view?usp=drivesdk</t>
  </si>
  <si>
    <t>INV2025-CLI-001-0001</t>
  </si>
  <si>
    <t>John Doe</t>
  </si>
  <si>
    <t>john.doe@example.com</t>
  </si>
  <si>
    <t>123 Test Street, City</t>
  </si>
  <si>
    <t>Test Service - Setup Validation</t>
  </si>
  <si>
    <t>https://drive.google.com/file/d/1Jsew-xdiW0lOTo0TPB9n4qbPK3wLteGQ/view?usp=drivesdk</t>
  </si>
  <si>
    <t>INV2025-CLI-007-0001</t>
  </si>
  <si>
    <t>client Moussa</t>
  </si>
  <si>
    <t>moussa@tpmn.app</t>
  </si>
  <si>
    <t>3srue du bonheur, Paris</t>
  </si>
  <si>
    <t>Chocalats</t>
  </si>
  <si>
    <t>https://drive.google.com/file/d/1UlQTVl30CRDUOrnyjScACky440-ENXnP/view?usp=drivesdk</t>
  </si>
  <si>
    <t>14/12/2025 22:36</t>
  </si>
  <si>
    <t>INV2025-CLI-001-0003</t>
  </si>
  <si>
    <t>https://drive.google.com/file/d/1McbiIcFKkIsBV0GJ3yYvUj3mFsGoeLpj/view?usp=drivesdk</t>
  </si>
  <si>
    <t>INV2025-CLI-002-0001</t>
  </si>
  <si>
    <t>Formation personnalisée</t>
  </si>
  <si>
    <t>https://drive.google.com/file/d/1wsCG8GaJb7UkidfbV6dn56YLhcnONKPU/view?usp=drivesdk</t>
  </si>
  <si>
    <t>INV2025-CLI-005-0001</t>
  </si>
  <si>
    <t>Nouveau là</t>
  </si>
  <si>
    <t>nouveau@ehjjjjh.app</t>
  </si>
  <si>
    <t>123 viille de la paix</t>
  </si>
  <si>
    <t>https://drive.google.com/file/d/1QqRH1U5FHnd44A4oOhZMrlDuRuixXRqG/view?usp=drivesdk</t>
  </si>
  <si>
    <t>INV2025-CLI-002-0002</t>
  </si>
  <si>
    <t>https://drive.google.com/file/d/1jqj6psm-eGuhAM32Y7NVWg1nJYCQq2z3/view?usp=drivesdk</t>
  </si>
  <si>
    <t>INV2025-CLI-004-0002</t>
  </si>
  <si>
    <t>xxx@tpmn.appp</t>
  </si>
  <si>
    <t>Draft</t>
  </si>
  <si>
    <t>14/12/2025 22:32</t>
  </si>
  <si>
    <t>INV2025-CLI-002-0003</t>
  </si>
  <si>
    <t>https://drive.google.com/file/d/1bdmxi51VP1Yqw42noDVPzFpYbo9uILT8/view?usp=drivesdk</t>
  </si>
  <si>
    <t>14/12/2025 22:31</t>
  </si>
  <si>
    <t>INV2025-CLI-003-0002</t>
  </si>
  <si>
    <t>hello there</t>
  </si>
  <si>
    <t>https://drive.google.com/file/d/1YMls3MFB2YLb11cPbznrZsFU3Q2Uqh3h/view?usp=drivesdk</t>
  </si>
  <si>
    <t>INV2025-CLI-004-0003</t>
  </si>
  <si>
    <t>https://drive.google.com/file/d/1d9ud6B66ofQw24SH6orb-nwNUIdxKgfl/view?usp=drivesdk</t>
  </si>
  <si>
    <t>20251214 225508</t>
  </si>
  <si>
    <t>20251214 225546</t>
  </si>
  <si>
    <t>ClientID</t>
  </si>
  <si>
    <t>CLI-001</t>
  </si>
  <si>
    <r>
      <rPr>
        <color rgb="FF1155CC"/>
        <u/>
      </rPr>
      <t>john@example.com</t>
    </r>
  </si>
  <si>
    <t>CLI-002</t>
  </si>
  <si>
    <r>
      <rPr>
        <color rgb="FF1155CC"/>
        <u/>
      </rPr>
      <t>jane@example.com</t>
    </r>
  </si>
  <si>
    <t>CLI-003</t>
  </si>
  <si>
    <r>
      <rPr>
        <color rgb="FF1155CC"/>
        <u/>
      </rPr>
      <t>billing@acmecorp.com</t>
    </r>
  </si>
  <si>
    <t>CLI-004</t>
  </si>
  <si>
    <t>CLI-005</t>
  </si>
  <si>
    <t>CLI-006</t>
  </si>
  <si>
    <t>ali baba</t>
  </si>
  <si>
    <t>alliba@tpmn.app</t>
  </si>
  <si>
    <t>alli alli</t>
  </si>
  <si>
    <t>CLI-007</t>
  </si>
  <si>
    <t>ServiceID</t>
  </si>
  <si>
    <t>ServiceName</t>
  </si>
  <si>
    <t>DefaultPrice</t>
  </si>
  <si>
    <t>Category</t>
  </si>
  <si>
    <t>SRV-001</t>
  </si>
  <si>
    <t>Consultation</t>
  </si>
  <si>
    <t>Conseil</t>
  </si>
  <si>
    <t>SRV-002</t>
  </si>
  <si>
    <t>Développement Web</t>
  </si>
  <si>
    <t>Dev</t>
  </si>
  <si>
    <t>SRV-003</t>
  </si>
  <si>
    <t>Formation</t>
  </si>
  <si>
    <t>Parameter</t>
  </si>
  <si>
    <t>Value</t>
  </si>
  <si>
    <t>TEMPLATE_DOCS_ID</t>
  </si>
  <si>
    <t>19lus1lxI1eqNUDSdMJ-1yrCRHl87JFYUdGJ1aNVBUNA</t>
  </si>
  <si>
    <t>DRIVE_FOLDER_ID</t>
  </si>
  <si>
    <t>1rHppApu-K_axPbhVpJ0l6OP9jvHtJo5o</t>
  </si>
  <si>
    <t>SENDER_EMAIL</t>
  </si>
  <si>
    <t>nelly@tpmn.app</t>
  </si>
  <si>
    <t>AUTO_SEND_EMAIL</t>
  </si>
  <si>
    <t>COMPANY_NAME</t>
  </si>
  <si>
    <t>My Compagny</t>
  </si>
  <si>
    <t>COMPANY_ADDRESS</t>
  </si>
  <si>
    <t>1 Allée du roi</t>
  </si>
  <si>
    <t>COMPANY_PHONE</t>
  </si>
  <si>
    <t>COMPANY_EMAIL</t>
  </si>
  <si>
    <t>INVOICE_PREFIX</t>
  </si>
  <si>
    <t>INV2025-</t>
  </si>
  <si>
    <t>CURRENCY_SYMBOL</t>
  </si>
  <si>
    <t>€</t>
  </si>
  <si>
    <t>CURRENCY_CODE</t>
  </si>
  <si>
    <t>EUR</t>
  </si>
  <si>
    <t>LOCALE</t>
  </si>
  <si>
    <t>EN</t>
  </si>
  <si>
    <t>INVOICE DASHBOARD</t>
  </si>
  <si>
    <t>Total Invoices</t>
  </si>
  <si>
    <t>Total Revenue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</si>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</sst>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/d/yyyy, h:mm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rgb="FFEFEFEF"/>
      <name val="Arial"/>
      <scheme val="minor"/>
    </font>
    <font/>
    <font>
      <sz val="12.0"/>
      <color rgb="FF000000"/>
      <name val="Arial"/>
    </font>
    <font>
      <b/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3" numFmtId="3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2" fontId="9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Font="1"/>
    <xf borderId="1" fillId="3" fontId="10" numFmtId="0" xfId="0" applyAlignment="1" applyBorder="1" applyFill="1" applyFont="1">
      <alignment horizontal="center" readingOrder="0"/>
    </xf>
    <xf borderId="2" fillId="0" fontId="11" numFmtId="0" xfId="0" applyBorder="1" applyFont="1"/>
    <xf borderId="3" fillId="0" fontId="12" numFmtId="0" xfId="0" applyAlignment="1" applyBorder="1" applyFont="1">
      <alignment horizontal="right" readingOrder="0"/>
    </xf>
    <xf borderId="4" fillId="0" fontId="13" numFmtId="0" xfId="0" applyAlignment="1" applyBorder="1" applyFont="1">
      <alignment readingOrder="0"/>
    </xf>
    <xf borderId="5" fillId="0" fontId="12" numFmtId="0" xfId="0" applyAlignment="1" applyBorder="1" applyFont="1">
      <alignment horizontal="right" readingOrder="0"/>
    </xf>
    <xf borderId="6" fillId="0" fontId="13" numFmtId="3" xfId="0" applyBorder="1" applyFont="1" applyNumberFormat="1"/>
    <xf borderId="7" fillId="0" fontId="12" numFmtId="0" xfId="0" applyAlignment="1" applyBorder="1" applyFont="1">
      <alignment horizontal="right" readingOrder="0"/>
    </xf>
    <xf borderId="8" fillId="0" fontId="13" numFmtId="3" xfId="0" applyBorder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solid">
          <fgColor rgb="FFF59E0B"/>
          <bgColor rgb="FFF59E0B"/>
        </patternFill>
      </fill>
      <border/>
    </dxf>
    <dxf>
      <font/>
      <fill>
        <patternFill patternType="solid">
          <fgColor rgb="FF8B5CF6"/>
          <bgColor rgb="FF8B5CF6"/>
        </patternFill>
      </fill>
      <border/>
    </dxf>
    <dxf>
      <font/>
      <fill>
        <patternFill patternType="solid">
          <fgColor rgb="FF10B981"/>
          <bgColor rgb="FF10B98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Invoice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Clients-style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Services-style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Settings-style">
      <tableStyleElement dxfId="9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133350</xdr:rowOff>
    </xdr:from>
    <xdr:ext cx="5715000" cy="3533775"/>
    <xdr:pic>
      <xdr:nvPicPr>
        <xdr:cNvPr id="11425310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P15" displayName="Invoices" name="Invoices" id="1">
  <autoFilter ref="$A$1:$P$15"/>
  <tableColumns count="16">
    <tableColumn name="InvoiceID" id="1"/>
    <tableColumn name="InvoiceDate" id="2"/>
    <tableColumn name="ClientName" id="3"/>
    <tableColumn name="ClientEmail" id="4"/>
    <tableColumn name="ClientPhone" id="5"/>
    <tableColumn name="ClientAddress" id="6"/>
    <tableColumn name="Description" id="7"/>
    <tableColumn name="Quantity" id="8"/>
    <tableColumn name="UnitPrice" id="9"/>
    <tableColumn name="TVA" id="10"/>
    <tableColumn name="TotalAmount" id="11"/>
    <tableColumn name="Status" id="12"/>
    <tableColumn name="PDFUrl" id="13"/>
    <tableColumn name="CreatedAt" id="14"/>
    <tableColumn name="       GeneratedAt" id="15"/>
    <tableColumn name="     SentAt" id="16"/>
  </tableColumns>
  <tableStyleInfo name="Invoices-style" showColumnStripes="0" showFirstColumn="1" showLastColumn="1" showRowStripes="1"/>
</table>
</file>

<file path=xl/tables/table2.xml><?xml version="1.0" encoding="utf-8"?>
<table xmlns="http://schemas.openxmlformats.org/spreadsheetml/2006/main" ref="A1:E8" displayName="Clients" name="Clients" id="2">
  <tableColumns count="5">
    <tableColumn name="ClientID" id="1"/>
    <tableColumn name="ClientName" id="2"/>
    <tableColumn name="ClientEmail" id="3"/>
    <tableColumn name="ClientPhone" id="4"/>
    <tableColumn name="ClientAddress" id="5"/>
  </tableColumns>
  <tableStyleInfo name="Clients-style" showColumnStripes="0" showFirstColumn="1" showLastColumn="1" showRowStripes="1"/>
</table>
</file>

<file path=xl/tables/table3.xml><?xml version="1.0" encoding="utf-8"?>
<table xmlns="http://schemas.openxmlformats.org/spreadsheetml/2006/main" ref="A1:E4" displayName="Services" name="Services" id="3">
  <tableColumns count="5">
    <tableColumn name="ServiceID" id="1"/>
    <tableColumn name="ServiceName" id="2"/>
    <tableColumn name="Description" id="3"/>
    <tableColumn name="DefaultPrice" id="4"/>
    <tableColumn name="Category" id="5"/>
  </tableColumns>
  <tableStyleInfo name="Services-style" showColumnStripes="0" showFirstColumn="1" showLastColumn="1" showRowStripes="1"/>
</table>
</file>

<file path=xl/tables/table4.xml><?xml version="1.0" encoding="utf-8"?>
<table xmlns="http://schemas.openxmlformats.org/spreadsheetml/2006/main" ref="A1:B14" displayName="Settings" name="Settings" id="4">
  <autoFilter ref="$A$1:$B$14"/>
  <tableColumns count="2">
    <tableColumn name="Parameter" id="1"/>
    <tableColumn name="Value" id="2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dmxi51VP1Yqw42noDVPzFpYbo9uILT8/view?usp=drivesdk" TargetMode="External"/><Relationship Id="rId10" Type="http://schemas.openxmlformats.org/officeDocument/2006/relationships/hyperlink" Target="https://drive.google.com/file/d/1jqj6psm-eGuhAM32Y7NVWg1nJYCQq2z3/view?usp=drivesdk" TargetMode="External"/><Relationship Id="rId13" Type="http://schemas.openxmlformats.org/officeDocument/2006/relationships/hyperlink" Target="https://drive.google.com/file/d/1d9ud6B66ofQw24SH6orb-nwNUIdxKgfl/view?usp=drivesdk" TargetMode="External"/><Relationship Id="rId12" Type="http://schemas.openxmlformats.org/officeDocument/2006/relationships/hyperlink" Target="https://drive.google.com/file/d/1YMls3MFB2YLb11cPbznrZsFU3Q2Uqh3h/view?usp=drivesdk" TargetMode="External"/><Relationship Id="rId1" Type="http://schemas.openxmlformats.org/officeDocument/2006/relationships/hyperlink" Target="https://drive.google.com/file/d/1stYGn55MaAF4bs5lvYEjyYE2dg6DYV2W/view?usp=drivesdk" TargetMode="External"/><Relationship Id="rId2" Type="http://schemas.openxmlformats.org/officeDocument/2006/relationships/hyperlink" Target="https://drive.google.com/file/d/1dBOLXcn0xdP1eFcjSMk7QwwDoIXlK780/view?usp=drivesdk" TargetMode="External"/><Relationship Id="rId3" Type="http://schemas.openxmlformats.org/officeDocument/2006/relationships/hyperlink" Target="https://drive.google.com/file/d/1R-zdo02XnSFrvLlvxTSCkJdgj2moJvHl/view?usp=drivesdk" TargetMode="External"/><Relationship Id="rId4" Type="http://schemas.openxmlformats.org/officeDocument/2006/relationships/hyperlink" Target="https://drive.google.com/file/d/1bv020oEcE3I9CfQ3GaAIsdEw47PQMOyO/view?usp=drivesdk" TargetMode="External"/><Relationship Id="rId9" Type="http://schemas.openxmlformats.org/officeDocument/2006/relationships/hyperlink" Target="https://drive.google.com/file/d/1QqRH1U5FHnd44A4oOhZMrlDuRuixXRqG/view?usp=drivesdk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drive.google.com/file/d/1Jsew-xdiW0lOTo0TPB9n4qbPK3wLteGQ/view?usp=drivesdk" TargetMode="External"/><Relationship Id="rId6" Type="http://schemas.openxmlformats.org/officeDocument/2006/relationships/hyperlink" Target="https://drive.google.com/file/d/1UlQTVl30CRDUOrnyjScACky440-ENXnP/view?usp=drivesdk" TargetMode="External"/><Relationship Id="rId7" Type="http://schemas.openxmlformats.org/officeDocument/2006/relationships/hyperlink" Target="https://drive.google.com/file/d/1McbiIcFKkIsBV0GJ3yYvUj3mFsGoeLpj/view?usp=drivesdk" TargetMode="External"/><Relationship Id="rId8" Type="http://schemas.openxmlformats.org/officeDocument/2006/relationships/hyperlink" Target="https://drive.google.com/file/d/1wsCG8GaJb7UkidfbV6dn56YLhcnONKPU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jane@example.com" TargetMode="External"/><Relationship Id="rId3" Type="http://schemas.openxmlformats.org/officeDocument/2006/relationships/hyperlink" Target="mailto:billing@acmecorp.com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7.5"/>
    <col customWidth="1" min="3" max="3" width="14.25"/>
    <col customWidth="1" min="4" max="4" width="22.25"/>
    <col customWidth="1" min="5" max="5" width="14.63"/>
    <col customWidth="1" min="6" max="6" width="29.5"/>
    <col customWidth="1" min="7" max="7" width="24.88"/>
    <col customWidth="1" min="8" max="11" width="9.5"/>
    <col customWidth="1" min="12" max="12" width="16.38"/>
    <col customWidth="1" min="13" max="13" width="23.5"/>
    <col customWidth="1" min="14" max="14" width="15.63"/>
    <col customWidth="1" min="15" max="15" width="18.75"/>
    <col customWidth="1" min="16" max="16" width="17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2.5" customHeight="1">
      <c r="A2" s="7" t="s">
        <v>16</v>
      </c>
      <c r="B2" s="8">
        <v>46006.0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10">
        <v>1.0</v>
      </c>
      <c r="I2" s="11">
        <v>500.0</v>
      </c>
      <c r="J2" s="11"/>
      <c r="K2" s="11">
        <f>I2*H2</f>
        <v>500</v>
      </c>
      <c r="L2" s="12" t="s">
        <v>22</v>
      </c>
      <c r="M2" s="13" t="s">
        <v>23</v>
      </c>
      <c r="N2" s="14"/>
      <c r="O2" s="14"/>
      <c r="P2" s="15"/>
    </row>
    <row r="3" ht="22.5" customHeight="1">
      <c r="A3" s="7" t="s">
        <v>24</v>
      </c>
      <c r="B3" s="16">
        <v>46005.10738168981</v>
      </c>
      <c r="C3" s="7" t="s">
        <v>25</v>
      </c>
      <c r="D3" s="7" t="s">
        <v>26</v>
      </c>
      <c r="E3" s="7">
        <v>-1010.0</v>
      </c>
      <c r="F3" s="7" t="s">
        <v>27</v>
      </c>
      <c r="G3" s="7" t="s">
        <v>28</v>
      </c>
      <c r="H3" s="17">
        <v>1.0</v>
      </c>
      <c r="I3" s="18">
        <v>150.0</v>
      </c>
      <c r="J3" s="18">
        <v>0.0</v>
      </c>
      <c r="K3" s="18">
        <v>150.0</v>
      </c>
      <c r="L3" s="19" t="s">
        <v>22</v>
      </c>
      <c r="M3" s="20" t="s">
        <v>29</v>
      </c>
      <c r="N3" s="7"/>
      <c r="O3" s="7"/>
      <c r="P3" s="21"/>
    </row>
    <row r="4" ht="22.5" customHeight="1">
      <c r="A4" s="7" t="s">
        <v>30</v>
      </c>
      <c r="B4" s="16">
        <v>46005.18221773148</v>
      </c>
      <c r="C4" s="7" t="s">
        <v>31</v>
      </c>
      <c r="D4" s="7" t="s">
        <v>32</v>
      </c>
      <c r="E4" s="7">
        <v>123456.0</v>
      </c>
      <c r="F4" s="7" t="s">
        <v>33</v>
      </c>
      <c r="G4" s="7" t="s">
        <v>34</v>
      </c>
      <c r="H4" s="17">
        <v>1.0</v>
      </c>
      <c r="I4" s="18">
        <v>500.0</v>
      </c>
      <c r="J4" s="18">
        <v>0.0</v>
      </c>
      <c r="K4" s="18">
        <v>500.0</v>
      </c>
      <c r="L4" s="19" t="s">
        <v>22</v>
      </c>
      <c r="M4" s="20" t="s">
        <v>35</v>
      </c>
      <c r="N4" s="7"/>
      <c r="O4" s="7"/>
      <c r="P4" s="21"/>
    </row>
    <row r="5" ht="22.5" customHeight="1">
      <c r="A5" s="7" t="s">
        <v>36</v>
      </c>
      <c r="B5" s="16">
        <v>46005.207707442125</v>
      </c>
      <c r="C5" s="7" t="s">
        <v>37</v>
      </c>
      <c r="D5" s="7" t="s">
        <v>38</v>
      </c>
      <c r="E5" s="7">
        <v>-1343.0</v>
      </c>
      <c r="F5" s="7" t="s">
        <v>39</v>
      </c>
      <c r="G5" s="7" t="s">
        <v>34</v>
      </c>
      <c r="H5" s="17">
        <v>1.0</v>
      </c>
      <c r="I5" s="18">
        <v>300.0</v>
      </c>
      <c r="J5" s="18">
        <v>0.0</v>
      </c>
      <c r="K5" s="18">
        <v>300.0</v>
      </c>
      <c r="L5" s="19" t="s">
        <v>40</v>
      </c>
      <c r="M5" s="20" t="s">
        <v>41</v>
      </c>
      <c r="N5" s="7"/>
      <c r="O5" s="7"/>
      <c r="P5" s="21"/>
    </row>
    <row r="6" ht="22.5" customHeight="1">
      <c r="A6" s="7" t="s">
        <v>42</v>
      </c>
      <c r="B6" s="16">
        <v>46005.21555775463</v>
      </c>
      <c r="C6" s="7" t="s">
        <v>43</v>
      </c>
      <c r="D6" s="7" t="s">
        <v>44</v>
      </c>
      <c r="E6" s="7">
        <v>1234567890</v>
      </c>
      <c r="F6" s="7" t="s">
        <v>45</v>
      </c>
      <c r="G6" s="7" t="s">
        <v>46</v>
      </c>
      <c r="H6" s="17">
        <v>1.0</v>
      </c>
      <c r="I6" s="18">
        <v>100.0</v>
      </c>
      <c r="J6" s="18">
        <v>0.0</v>
      </c>
      <c r="K6" s="18">
        <v>100.0</v>
      </c>
      <c r="L6" s="19" t="s">
        <v>40</v>
      </c>
      <c r="M6" s="20" t="s">
        <v>47</v>
      </c>
      <c r="N6" s="7"/>
      <c r="O6" s="7"/>
      <c r="P6" s="21"/>
    </row>
    <row r="7" ht="22.5" customHeight="1">
      <c r="A7" s="7" t="s">
        <v>48</v>
      </c>
      <c r="B7" s="16">
        <v>46005.7398422338</v>
      </c>
      <c r="C7" s="7" t="s">
        <v>49</v>
      </c>
      <c r="D7" s="7" t="s">
        <v>50</v>
      </c>
      <c r="E7" s="7">
        <v>1.23456852E8</v>
      </c>
      <c r="F7" s="7" t="s">
        <v>51</v>
      </c>
      <c r="G7" s="7" t="s">
        <v>52</v>
      </c>
      <c r="H7" s="17">
        <v>20.0</v>
      </c>
      <c r="I7" s="18">
        <v>2.0</v>
      </c>
      <c r="J7" s="18">
        <v>0.0</v>
      </c>
      <c r="K7" s="18">
        <v>40.0</v>
      </c>
      <c r="L7" s="19" t="s">
        <v>40</v>
      </c>
      <c r="M7" s="20" t="s">
        <v>53</v>
      </c>
      <c r="N7" s="7"/>
      <c r="O7" s="7"/>
      <c r="P7" s="21" t="s">
        <v>54</v>
      </c>
    </row>
    <row r="8" ht="22.5" customHeight="1">
      <c r="A8" s="7" t="s">
        <v>55</v>
      </c>
      <c r="B8" s="16">
        <v>46005.817143125</v>
      </c>
      <c r="C8" s="7" t="s">
        <v>17</v>
      </c>
      <c r="D8" s="7" t="s">
        <v>18</v>
      </c>
      <c r="E8" s="7">
        <v>-677.0</v>
      </c>
      <c r="F8" s="7" t="s">
        <v>20</v>
      </c>
      <c r="G8" s="7" t="s">
        <v>28</v>
      </c>
      <c r="H8" s="17">
        <v>1.0</v>
      </c>
      <c r="I8" s="18">
        <v>150.0</v>
      </c>
      <c r="J8" s="18">
        <v>0.0</v>
      </c>
      <c r="K8" s="18">
        <v>150.0</v>
      </c>
      <c r="L8" s="19" t="s">
        <v>40</v>
      </c>
      <c r="M8" s="20" t="s">
        <v>56</v>
      </c>
      <c r="N8" s="7"/>
      <c r="O8" s="7"/>
      <c r="P8" s="21">
        <v>46005.94513888889</v>
      </c>
    </row>
    <row r="9" ht="22.5" customHeight="1">
      <c r="A9" s="7" t="s">
        <v>57</v>
      </c>
      <c r="B9" s="16">
        <v>46005.81924394676</v>
      </c>
      <c r="C9" s="7" t="s">
        <v>25</v>
      </c>
      <c r="D9" s="7" t="s">
        <v>26</v>
      </c>
      <c r="E9" s="7">
        <v>-1010.0</v>
      </c>
      <c r="F9" s="7" t="s">
        <v>27</v>
      </c>
      <c r="G9" s="7" t="s">
        <v>58</v>
      </c>
      <c r="H9" s="17">
        <v>1.0</v>
      </c>
      <c r="I9" s="18">
        <v>200.0</v>
      </c>
      <c r="J9" s="18">
        <v>0.0</v>
      </c>
      <c r="K9" s="18">
        <v>200.0</v>
      </c>
      <c r="L9" s="19" t="s">
        <v>40</v>
      </c>
      <c r="M9" s="20" t="s">
        <v>59</v>
      </c>
      <c r="N9" s="7"/>
      <c r="O9" s="7"/>
      <c r="P9" s="21"/>
    </row>
    <row r="10" ht="22.5" customHeight="1">
      <c r="A10" s="7" t="s">
        <v>60</v>
      </c>
      <c r="B10" s="16">
        <v>46005.82403686343</v>
      </c>
      <c r="C10" s="7" t="s">
        <v>61</v>
      </c>
      <c r="D10" s="7" t="s">
        <v>62</v>
      </c>
      <c r="E10" s="7">
        <v>1234.0</v>
      </c>
      <c r="F10" s="7" t="s">
        <v>63</v>
      </c>
      <c r="G10" s="7" t="s">
        <v>28</v>
      </c>
      <c r="H10" s="17">
        <v>1.0</v>
      </c>
      <c r="I10" s="18">
        <v>150.0</v>
      </c>
      <c r="J10" s="18">
        <v>0.0</v>
      </c>
      <c r="K10" s="18">
        <v>150.0</v>
      </c>
      <c r="L10" s="19" t="s">
        <v>22</v>
      </c>
      <c r="M10" s="20" t="s">
        <v>64</v>
      </c>
      <c r="N10" s="7"/>
      <c r="O10" s="7"/>
      <c r="P10" s="21"/>
    </row>
    <row r="11" ht="22.5" customHeight="1">
      <c r="A11" s="7" t="s">
        <v>65</v>
      </c>
      <c r="B11" s="16">
        <v>46005.828103437496</v>
      </c>
      <c r="C11" s="7" t="s">
        <v>25</v>
      </c>
      <c r="D11" s="7" t="s">
        <v>26</v>
      </c>
      <c r="E11" s="7">
        <v>-1010.0</v>
      </c>
      <c r="F11" s="7" t="s">
        <v>27</v>
      </c>
      <c r="G11" s="7" t="s">
        <v>34</v>
      </c>
      <c r="H11" s="17">
        <v>3.0</v>
      </c>
      <c r="I11" s="18">
        <v>500.0</v>
      </c>
      <c r="J11" s="18">
        <v>0.0</v>
      </c>
      <c r="K11" s="18">
        <v>1500.0</v>
      </c>
      <c r="L11" s="19" t="s">
        <v>22</v>
      </c>
      <c r="M11" s="20" t="s">
        <v>66</v>
      </c>
      <c r="N11" s="7"/>
      <c r="O11" s="7"/>
      <c r="P11" s="21"/>
    </row>
    <row r="12" ht="22.5" customHeight="1">
      <c r="A12" s="7" t="s">
        <v>67</v>
      </c>
      <c r="B12" s="16">
        <v>46005.84440715278</v>
      </c>
      <c r="C12" s="7" t="s">
        <v>31</v>
      </c>
      <c r="D12" s="7" t="s">
        <v>68</v>
      </c>
      <c r="E12" s="7">
        <v>123456.0</v>
      </c>
      <c r="F12" s="7" t="s">
        <v>33</v>
      </c>
      <c r="G12" s="7" t="s">
        <v>28</v>
      </c>
      <c r="H12" s="17">
        <v>2.0</v>
      </c>
      <c r="I12" s="18">
        <v>150.0</v>
      </c>
      <c r="J12" s="18">
        <v>0.0</v>
      </c>
      <c r="K12" s="18">
        <v>300.0</v>
      </c>
      <c r="L12" s="19" t="s">
        <v>69</v>
      </c>
      <c r="M12" s="7"/>
      <c r="N12" s="7"/>
      <c r="O12" s="7" t="s">
        <v>70</v>
      </c>
      <c r="P12" s="21"/>
    </row>
    <row r="13" ht="22.5" customHeight="1">
      <c r="A13" s="7" t="s">
        <v>71</v>
      </c>
      <c r="B13" s="16">
        <v>46005.9382055787</v>
      </c>
      <c r="C13" s="7" t="s">
        <v>25</v>
      </c>
      <c r="D13" s="7" t="s">
        <v>26</v>
      </c>
      <c r="E13" s="7">
        <v>-1010.0</v>
      </c>
      <c r="F13" s="7" t="s">
        <v>27</v>
      </c>
      <c r="G13" s="7" t="s">
        <v>28</v>
      </c>
      <c r="H13" s="17">
        <v>3.0</v>
      </c>
      <c r="I13" s="18">
        <v>150.0</v>
      </c>
      <c r="J13" s="18">
        <v>0.0</v>
      </c>
      <c r="K13" s="18">
        <v>450.0</v>
      </c>
      <c r="L13" s="19" t="s">
        <v>40</v>
      </c>
      <c r="M13" s="20" t="s">
        <v>72</v>
      </c>
      <c r="N13" s="7" t="s">
        <v>73</v>
      </c>
      <c r="O13" s="7" t="s">
        <v>73</v>
      </c>
      <c r="P13" s="21">
        <v>46005.94930555556</v>
      </c>
    </row>
    <row r="14" ht="22.5" customHeight="1">
      <c r="A14" s="7" t="s">
        <v>74</v>
      </c>
      <c r="B14" s="16">
        <v>46005.948158009254</v>
      </c>
      <c r="C14" s="7" t="s">
        <v>37</v>
      </c>
      <c r="D14" s="7" t="s">
        <v>38</v>
      </c>
      <c r="E14" s="7">
        <v>-1343.0</v>
      </c>
      <c r="F14" s="7" t="s">
        <v>39</v>
      </c>
      <c r="G14" s="7" t="s">
        <v>75</v>
      </c>
      <c r="H14" s="17">
        <v>1.0</v>
      </c>
      <c r="I14" s="18">
        <v>159.0</v>
      </c>
      <c r="J14" s="18">
        <v>0.0</v>
      </c>
      <c r="K14" s="18">
        <v>159.0</v>
      </c>
      <c r="L14" s="19" t="s">
        <v>22</v>
      </c>
      <c r="M14" s="20" t="s">
        <v>76</v>
      </c>
      <c r="N14" s="22">
        <v>46005.947916666664</v>
      </c>
      <c r="O14" s="22">
        <v>46005.94861111111</v>
      </c>
      <c r="P14" s="21"/>
    </row>
    <row r="15" ht="22.5" customHeight="1">
      <c r="A15" s="7" t="s">
        <v>77</v>
      </c>
      <c r="B15" s="16">
        <v>46005.9549596875</v>
      </c>
      <c r="C15" s="7" t="s">
        <v>31</v>
      </c>
      <c r="D15" s="7" t="s">
        <v>68</v>
      </c>
      <c r="E15" s="7">
        <v>123456.0</v>
      </c>
      <c r="F15" s="7" t="s">
        <v>33</v>
      </c>
      <c r="G15" s="7" t="s">
        <v>34</v>
      </c>
      <c r="H15" s="17">
        <v>1.0</v>
      </c>
      <c r="I15" s="18">
        <v>500.0</v>
      </c>
      <c r="J15" s="18">
        <v>0.0</v>
      </c>
      <c r="K15" s="18">
        <v>500.0</v>
      </c>
      <c r="L15" s="19" t="s">
        <v>22</v>
      </c>
      <c r="M15" s="20" t="s">
        <v>78</v>
      </c>
      <c r="N15" s="7" t="s">
        <v>79</v>
      </c>
      <c r="O15" s="7" t="s">
        <v>80</v>
      </c>
      <c r="P15" s="21"/>
    </row>
    <row r="16">
      <c r="J16" s="23"/>
      <c r="K16" s="23"/>
      <c r="P16" s="24"/>
    </row>
    <row r="17">
      <c r="J17" s="23"/>
      <c r="K17" s="23"/>
      <c r="P17" s="24"/>
    </row>
    <row r="18">
      <c r="J18" s="23"/>
      <c r="K18" s="23"/>
      <c r="P18" s="24"/>
    </row>
    <row r="19">
      <c r="J19" s="23"/>
      <c r="K19" s="23"/>
      <c r="P19" s="24"/>
    </row>
    <row r="20">
      <c r="J20" s="23"/>
      <c r="K20" s="23"/>
      <c r="P20" s="24"/>
    </row>
    <row r="21">
      <c r="J21" s="23"/>
      <c r="K21" s="23"/>
      <c r="P21" s="24"/>
    </row>
    <row r="22">
      <c r="J22" s="23"/>
      <c r="K22" s="23"/>
      <c r="P22" s="24"/>
    </row>
    <row r="23">
      <c r="J23" s="23"/>
      <c r="K23" s="23"/>
      <c r="P23" s="24"/>
    </row>
    <row r="24">
      <c r="J24" s="23"/>
      <c r="K24" s="23"/>
      <c r="P24" s="24"/>
    </row>
    <row r="25">
      <c r="J25" s="23"/>
      <c r="K25" s="23"/>
      <c r="P25" s="24"/>
    </row>
    <row r="26">
      <c r="J26" s="23"/>
      <c r="K26" s="23"/>
      <c r="P26" s="24"/>
    </row>
    <row r="27">
      <c r="J27" s="23"/>
      <c r="K27" s="23"/>
      <c r="P27" s="24"/>
    </row>
    <row r="28">
      <c r="J28" s="23"/>
      <c r="K28" s="23"/>
      <c r="P28" s="24"/>
    </row>
    <row r="29">
      <c r="J29" s="23"/>
      <c r="K29" s="23"/>
      <c r="P29" s="24"/>
    </row>
    <row r="30">
      <c r="J30" s="23"/>
      <c r="K30" s="23"/>
      <c r="P30" s="24"/>
    </row>
    <row r="31">
      <c r="J31" s="23"/>
      <c r="K31" s="23"/>
      <c r="P31" s="24"/>
    </row>
    <row r="32">
      <c r="J32" s="23"/>
      <c r="K32" s="23"/>
      <c r="P32" s="24"/>
    </row>
    <row r="33">
      <c r="J33" s="23"/>
      <c r="K33" s="23"/>
      <c r="P33" s="24"/>
    </row>
    <row r="34">
      <c r="J34" s="23"/>
      <c r="K34" s="23"/>
      <c r="P34" s="24"/>
    </row>
    <row r="35">
      <c r="J35" s="23"/>
      <c r="K35" s="23"/>
      <c r="P35" s="24"/>
    </row>
    <row r="36">
      <c r="J36" s="23"/>
      <c r="K36" s="23"/>
      <c r="P36" s="24"/>
    </row>
    <row r="37">
      <c r="J37" s="23"/>
      <c r="K37" s="23"/>
      <c r="P37" s="24"/>
    </row>
    <row r="38">
      <c r="J38" s="23"/>
      <c r="K38" s="23"/>
      <c r="P38" s="24"/>
    </row>
    <row r="39">
      <c r="J39" s="23"/>
      <c r="K39" s="23"/>
      <c r="P39" s="24"/>
    </row>
    <row r="40">
      <c r="J40" s="23"/>
      <c r="K40" s="23"/>
      <c r="P40" s="24"/>
    </row>
    <row r="41">
      <c r="J41" s="23"/>
      <c r="K41" s="23"/>
      <c r="P41" s="24"/>
    </row>
    <row r="42">
      <c r="J42" s="23"/>
      <c r="K42" s="23"/>
      <c r="P42" s="24"/>
    </row>
    <row r="43">
      <c r="J43" s="23"/>
      <c r="K43" s="23"/>
      <c r="P43" s="24"/>
    </row>
    <row r="44">
      <c r="J44" s="23"/>
      <c r="K44" s="23"/>
      <c r="P44" s="24"/>
    </row>
    <row r="45">
      <c r="J45" s="23"/>
      <c r="K45" s="23"/>
      <c r="P45" s="24"/>
    </row>
    <row r="46">
      <c r="J46" s="23"/>
      <c r="K46" s="23"/>
      <c r="P46" s="24"/>
    </row>
    <row r="47">
      <c r="J47" s="23"/>
      <c r="K47" s="23"/>
      <c r="P47" s="24"/>
    </row>
    <row r="48">
      <c r="J48" s="23"/>
      <c r="K48" s="23"/>
      <c r="P48" s="24"/>
    </row>
    <row r="49">
      <c r="J49" s="23"/>
      <c r="K49" s="23"/>
      <c r="P49" s="24"/>
    </row>
    <row r="50">
      <c r="J50" s="23"/>
      <c r="K50" s="23"/>
      <c r="P50" s="24"/>
    </row>
    <row r="51">
      <c r="J51" s="23"/>
      <c r="K51" s="23"/>
      <c r="P51" s="24"/>
    </row>
    <row r="52">
      <c r="J52" s="23"/>
      <c r="K52" s="23"/>
      <c r="P52" s="24"/>
    </row>
    <row r="53">
      <c r="J53" s="23"/>
      <c r="K53" s="23"/>
      <c r="P53" s="24"/>
    </row>
    <row r="54">
      <c r="J54" s="23"/>
      <c r="K54" s="23"/>
      <c r="P54" s="24"/>
    </row>
    <row r="55">
      <c r="J55" s="23"/>
      <c r="K55" s="23"/>
      <c r="P55" s="24"/>
    </row>
    <row r="56">
      <c r="J56" s="23"/>
      <c r="K56" s="23"/>
      <c r="P56" s="24"/>
    </row>
    <row r="57">
      <c r="J57" s="23"/>
      <c r="K57" s="23"/>
      <c r="P57" s="24"/>
    </row>
    <row r="58">
      <c r="J58" s="23"/>
      <c r="K58" s="23"/>
      <c r="P58" s="24"/>
    </row>
    <row r="59">
      <c r="J59" s="23"/>
      <c r="K59" s="23"/>
      <c r="P59" s="24"/>
    </row>
    <row r="60">
      <c r="J60" s="23"/>
      <c r="K60" s="23"/>
      <c r="P60" s="24"/>
    </row>
    <row r="61">
      <c r="J61" s="23"/>
      <c r="K61" s="23"/>
      <c r="P61" s="24"/>
    </row>
    <row r="62">
      <c r="J62" s="23"/>
      <c r="K62" s="23"/>
      <c r="P62" s="24"/>
    </row>
    <row r="63">
      <c r="J63" s="23"/>
      <c r="K63" s="23"/>
      <c r="P63" s="24"/>
    </row>
    <row r="64">
      <c r="J64" s="23"/>
      <c r="K64" s="23"/>
      <c r="P64" s="24"/>
    </row>
    <row r="65">
      <c r="J65" s="23"/>
      <c r="K65" s="23"/>
      <c r="P65" s="24"/>
    </row>
    <row r="66">
      <c r="J66" s="23"/>
      <c r="K66" s="23"/>
      <c r="P66" s="24"/>
    </row>
    <row r="67">
      <c r="J67" s="23"/>
      <c r="K67" s="23"/>
      <c r="P67" s="24"/>
    </row>
    <row r="68">
      <c r="J68" s="23"/>
      <c r="K68" s="23"/>
      <c r="P68" s="24"/>
    </row>
    <row r="69">
      <c r="J69" s="23"/>
      <c r="K69" s="23"/>
      <c r="P69" s="24"/>
    </row>
    <row r="70">
      <c r="J70" s="23"/>
      <c r="K70" s="23"/>
      <c r="P70" s="24"/>
    </row>
    <row r="71">
      <c r="J71" s="23"/>
      <c r="K71" s="23"/>
      <c r="P71" s="24"/>
    </row>
    <row r="72">
      <c r="J72" s="23"/>
      <c r="K72" s="23"/>
      <c r="P72" s="24"/>
    </row>
    <row r="73">
      <c r="J73" s="23"/>
      <c r="K73" s="23"/>
      <c r="P73" s="24"/>
    </row>
    <row r="74">
      <c r="J74" s="23"/>
      <c r="K74" s="23"/>
      <c r="P74" s="24"/>
    </row>
    <row r="75">
      <c r="J75" s="23"/>
      <c r="K75" s="23"/>
      <c r="P75" s="24"/>
    </row>
    <row r="76">
      <c r="J76" s="23"/>
      <c r="K76" s="23"/>
      <c r="P76" s="24"/>
    </row>
    <row r="77">
      <c r="J77" s="23"/>
      <c r="K77" s="23"/>
      <c r="P77" s="24"/>
    </row>
    <row r="78">
      <c r="J78" s="23"/>
      <c r="K78" s="23"/>
      <c r="P78" s="24"/>
    </row>
    <row r="79">
      <c r="J79" s="23"/>
      <c r="K79" s="23"/>
      <c r="P79" s="24"/>
    </row>
    <row r="80">
      <c r="J80" s="23"/>
      <c r="K80" s="23"/>
      <c r="P80" s="24"/>
    </row>
    <row r="81">
      <c r="J81" s="23"/>
      <c r="K81" s="23"/>
      <c r="P81" s="24"/>
    </row>
    <row r="82">
      <c r="J82" s="23"/>
      <c r="K82" s="23"/>
      <c r="P82" s="24"/>
    </row>
    <row r="83">
      <c r="J83" s="23"/>
      <c r="K83" s="23"/>
      <c r="P83" s="24"/>
    </row>
    <row r="84">
      <c r="J84" s="23"/>
      <c r="K84" s="23"/>
      <c r="P84" s="24"/>
    </row>
    <row r="85">
      <c r="J85" s="23"/>
      <c r="K85" s="23"/>
      <c r="P85" s="24"/>
    </row>
    <row r="86">
      <c r="J86" s="23"/>
      <c r="K86" s="23"/>
      <c r="P86" s="24"/>
    </row>
    <row r="87">
      <c r="J87" s="23"/>
      <c r="K87" s="23"/>
      <c r="P87" s="24"/>
    </row>
    <row r="88">
      <c r="J88" s="23"/>
      <c r="K88" s="23"/>
      <c r="P88" s="24"/>
    </row>
    <row r="89">
      <c r="J89" s="23"/>
      <c r="K89" s="23"/>
      <c r="P89" s="24"/>
    </row>
    <row r="90">
      <c r="J90" s="23"/>
      <c r="K90" s="23"/>
      <c r="P90" s="24"/>
    </row>
    <row r="91">
      <c r="J91" s="23"/>
      <c r="K91" s="23"/>
      <c r="P91" s="24"/>
    </row>
    <row r="92">
      <c r="J92" s="23"/>
      <c r="K92" s="23"/>
      <c r="P92" s="24"/>
    </row>
    <row r="93">
      <c r="J93" s="23"/>
      <c r="K93" s="23"/>
      <c r="P93" s="24"/>
    </row>
    <row r="94">
      <c r="J94" s="23"/>
      <c r="K94" s="23"/>
      <c r="P94" s="24"/>
    </row>
    <row r="95">
      <c r="J95" s="23"/>
      <c r="K95" s="23"/>
      <c r="P95" s="24"/>
    </row>
    <row r="96">
      <c r="J96" s="23"/>
      <c r="K96" s="23"/>
      <c r="P96" s="24"/>
    </row>
    <row r="97">
      <c r="J97" s="23"/>
      <c r="K97" s="23"/>
      <c r="P97" s="24"/>
    </row>
    <row r="98">
      <c r="J98" s="23"/>
      <c r="K98" s="23"/>
      <c r="P98" s="24"/>
    </row>
    <row r="99">
      <c r="J99" s="23"/>
      <c r="K99" s="23"/>
      <c r="P99" s="24"/>
    </row>
    <row r="100">
      <c r="J100" s="23"/>
      <c r="K100" s="23"/>
      <c r="P100" s="24"/>
    </row>
    <row r="101">
      <c r="J101" s="23"/>
      <c r="K101" s="23"/>
      <c r="P101" s="24"/>
    </row>
    <row r="102">
      <c r="J102" s="23"/>
      <c r="K102" s="23"/>
      <c r="P102" s="24"/>
    </row>
    <row r="103">
      <c r="J103" s="23"/>
      <c r="K103" s="23"/>
      <c r="P103" s="24"/>
    </row>
    <row r="104">
      <c r="J104" s="23"/>
      <c r="K104" s="23"/>
      <c r="P104" s="24"/>
    </row>
    <row r="105">
      <c r="J105" s="23"/>
      <c r="K105" s="23"/>
      <c r="P105" s="24"/>
    </row>
    <row r="106">
      <c r="J106" s="23"/>
      <c r="K106" s="23"/>
      <c r="P106" s="24"/>
    </row>
    <row r="107">
      <c r="J107" s="23"/>
      <c r="K107" s="23"/>
      <c r="P107" s="24"/>
    </row>
    <row r="108">
      <c r="J108" s="23"/>
      <c r="K108" s="23"/>
      <c r="P108" s="24"/>
    </row>
    <row r="109">
      <c r="J109" s="23"/>
      <c r="K109" s="23"/>
      <c r="P109" s="24"/>
    </row>
    <row r="110">
      <c r="J110" s="23"/>
      <c r="K110" s="23"/>
      <c r="P110" s="24"/>
    </row>
    <row r="111">
      <c r="J111" s="23"/>
      <c r="K111" s="23"/>
      <c r="P111" s="24"/>
    </row>
    <row r="112">
      <c r="J112" s="23"/>
      <c r="K112" s="23"/>
      <c r="P112" s="24"/>
    </row>
    <row r="113">
      <c r="J113" s="23"/>
      <c r="K113" s="23"/>
      <c r="P113" s="24"/>
    </row>
    <row r="114">
      <c r="J114" s="23"/>
      <c r="K114" s="23"/>
      <c r="P114" s="24"/>
    </row>
    <row r="115">
      <c r="J115" s="23"/>
      <c r="K115" s="23"/>
      <c r="P115" s="24"/>
    </row>
    <row r="116">
      <c r="J116" s="23"/>
      <c r="K116" s="23"/>
      <c r="P116" s="24"/>
    </row>
    <row r="117">
      <c r="J117" s="23"/>
      <c r="K117" s="23"/>
      <c r="P117" s="24"/>
    </row>
    <row r="118">
      <c r="J118" s="23"/>
      <c r="K118" s="23"/>
      <c r="P118" s="24"/>
    </row>
    <row r="119">
      <c r="J119" s="23"/>
      <c r="K119" s="23"/>
      <c r="P119" s="24"/>
    </row>
    <row r="120">
      <c r="J120" s="23"/>
      <c r="K120" s="23"/>
      <c r="P120" s="24"/>
    </row>
    <row r="121">
      <c r="J121" s="23"/>
      <c r="K121" s="23"/>
      <c r="P121" s="24"/>
    </row>
    <row r="122">
      <c r="J122" s="23"/>
      <c r="K122" s="23"/>
      <c r="P122" s="24"/>
    </row>
    <row r="123">
      <c r="J123" s="23"/>
      <c r="K123" s="23"/>
      <c r="P123" s="24"/>
    </row>
    <row r="124">
      <c r="J124" s="23"/>
      <c r="K124" s="23"/>
      <c r="P124" s="24"/>
    </row>
    <row r="125">
      <c r="J125" s="23"/>
      <c r="K125" s="23"/>
      <c r="P125" s="24"/>
    </row>
    <row r="126">
      <c r="J126" s="23"/>
      <c r="K126" s="23"/>
      <c r="P126" s="24"/>
    </row>
    <row r="127">
      <c r="J127" s="23"/>
      <c r="K127" s="23"/>
      <c r="P127" s="24"/>
    </row>
    <row r="128">
      <c r="J128" s="23"/>
      <c r="K128" s="23"/>
      <c r="P128" s="24"/>
    </row>
    <row r="129">
      <c r="J129" s="23"/>
      <c r="K129" s="23"/>
      <c r="P129" s="24"/>
    </row>
    <row r="130">
      <c r="J130" s="23"/>
      <c r="K130" s="23"/>
      <c r="P130" s="24"/>
    </row>
    <row r="131">
      <c r="J131" s="23"/>
      <c r="K131" s="23"/>
      <c r="P131" s="24"/>
    </row>
    <row r="132">
      <c r="J132" s="23"/>
      <c r="K132" s="23"/>
      <c r="P132" s="24"/>
    </row>
    <row r="133">
      <c r="J133" s="23"/>
      <c r="K133" s="23"/>
      <c r="P133" s="24"/>
    </row>
    <row r="134">
      <c r="J134" s="23"/>
      <c r="K134" s="23"/>
      <c r="P134" s="24"/>
    </row>
    <row r="135">
      <c r="J135" s="23"/>
      <c r="K135" s="23"/>
      <c r="P135" s="24"/>
    </row>
    <row r="136">
      <c r="J136" s="23"/>
      <c r="K136" s="23"/>
      <c r="P136" s="24"/>
    </row>
    <row r="137">
      <c r="J137" s="23"/>
      <c r="K137" s="23"/>
      <c r="P137" s="24"/>
    </row>
    <row r="138">
      <c r="J138" s="23"/>
      <c r="K138" s="23"/>
      <c r="P138" s="24"/>
    </row>
    <row r="139">
      <c r="J139" s="23"/>
      <c r="K139" s="23"/>
      <c r="P139" s="24"/>
    </row>
    <row r="140">
      <c r="J140" s="23"/>
      <c r="K140" s="23"/>
      <c r="P140" s="24"/>
    </row>
    <row r="141">
      <c r="J141" s="23"/>
      <c r="K141" s="23"/>
      <c r="P141" s="24"/>
    </row>
    <row r="142">
      <c r="J142" s="23"/>
      <c r="K142" s="23"/>
      <c r="P142" s="24"/>
    </row>
    <row r="143">
      <c r="J143" s="23"/>
      <c r="K143" s="23"/>
      <c r="P143" s="24"/>
    </row>
    <row r="144">
      <c r="J144" s="23"/>
      <c r="K144" s="23"/>
      <c r="P144" s="24"/>
    </row>
    <row r="145">
      <c r="J145" s="23"/>
      <c r="K145" s="23"/>
      <c r="P145" s="24"/>
    </row>
    <row r="146">
      <c r="J146" s="23"/>
      <c r="K146" s="23"/>
      <c r="P146" s="24"/>
    </row>
    <row r="147">
      <c r="J147" s="23"/>
      <c r="K147" s="23"/>
      <c r="P147" s="24"/>
    </row>
    <row r="148">
      <c r="J148" s="23"/>
      <c r="K148" s="23"/>
      <c r="P148" s="24"/>
    </row>
    <row r="149">
      <c r="J149" s="23"/>
      <c r="K149" s="23"/>
      <c r="P149" s="24"/>
    </row>
    <row r="150">
      <c r="J150" s="23"/>
      <c r="K150" s="23"/>
      <c r="P150" s="24"/>
    </row>
    <row r="151">
      <c r="J151" s="23"/>
      <c r="K151" s="23"/>
      <c r="P151" s="24"/>
    </row>
    <row r="152">
      <c r="J152" s="23"/>
      <c r="K152" s="23"/>
      <c r="P152" s="24"/>
    </row>
    <row r="153">
      <c r="J153" s="23"/>
      <c r="K153" s="23"/>
      <c r="P153" s="24"/>
    </row>
    <row r="154">
      <c r="J154" s="23"/>
      <c r="K154" s="23"/>
      <c r="P154" s="24"/>
    </row>
    <row r="155">
      <c r="J155" s="23"/>
      <c r="K155" s="23"/>
      <c r="P155" s="24"/>
    </row>
    <row r="156">
      <c r="J156" s="23"/>
      <c r="K156" s="23"/>
      <c r="P156" s="24"/>
    </row>
    <row r="157">
      <c r="J157" s="23"/>
      <c r="K157" s="23"/>
      <c r="P157" s="24"/>
    </row>
    <row r="158">
      <c r="J158" s="23"/>
      <c r="K158" s="23"/>
      <c r="P158" s="24"/>
    </row>
    <row r="159">
      <c r="J159" s="23"/>
      <c r="K159" s="23"/>
      <c r="P159" s="24"/>
    </row>
    <row r="160">
      <c r="J160" s="23"/>
      <c r="K160" s="23"/>
      <c r="P160" s="24"/>
    </row>
    <row r="161">
      <c r="J161" s="23"/>
      <c r="K161" s="23"/>
      <c r="P161" s="24"/>
    </row>
    <row r="162">
      <c r="J162" s="23"/>
      <c r="K162" s="23"/>
      <c r="P162" s="24"/>
    </row>
    <row r="163">
      <c r="J163" s="23"/>
      <c r="K163" s="23"/>
      <c r="P163" s="24"/>
    </row>
    <row r="164">
      <c r="J164" s="23"/>
      <c r="K164" s="23"/>
      <c r="P164" s="24"/>
    </row>
    <row r="165">
      <c r="J165" s="23"/>
      <c r="K165" s="23"/>
      <c r="P165" s="24"/>
    </row>
    <row r="166">
      <c r="J166" s="23"/>
      <c r="K166" s="23"/>
      <c r="P166" s="24"/>
    </row>
    <row r="167">
      <c r="J167" s="23"/>
      <c r="K167" s="23"/>
      <c r="P167" s="24"/>
    </row>
    <row r="168">
      <c r="J168" s="23"/>
      <c r="K168" s="23"/>
      <c r="P168" s="24"/>
    </row>
    <row r="169">
      <c r="J169" s="23"/>
      <c r="K169" s="23"/>
      <c r="P169" s="24"/>
    </row>
    <row r="170">
      <c r="J170" s="23"/>
      <c r="K170" s="23"/>
      <c r="P170" s="24"/>
    </row>
    <row r="171">
      <c r="J171" s="23"/>
      <c r="K171" s="23"/>
      <c r="P171" s="24"/>
    </row>
    <row r="172">
      <c r="J172" s="23"/>
      <c r="K172" s="23"/>
      <c r="P172" s="24"/>
    </row>
    <row r="173">
      <c r="J173" s="23"/>
      <c r="K173" s="23"/>
      <c r="P173" s="24"/>
    </row>
    <row r="174">
      <c r="J174" s="23"/>
      <c r="K174" s="23"/>
      <c r="P174" s="24"/>
    </row>
    <row r="175">
      <c r="J175" s="23"/>
      <c r="K175" s="23"/>
      <c r="P175" s="24"/>
    </row>
    <row r="176">
      <c r="J176" s="23"/>
      <c r="K176" s="23"/>
      <c r="P176" s="24"/>
    </row>
    <row r="177">
      <c r="J177" s="23"/>
      <c r="K177" s="23"/>
      <c r="P177" s="24"/>
    </row>
    <row r="178">
      <c r="J178" s="23"/>
      <c r="K178" s="23"/>
      <c r="P178" s="24"/>
    </row>
    <row r="179">
      <c r="J179" s="23"/>
      <c r="K179" s="23"/>
      <c r="P179" s="24"/>
    </row>
    <row r="180">
      <c r="J180" s="23"/>
      <c r="K180" s="23"/>
      <c r="P180" s="24"/>
    </row>
    <row r="181">
      <c r="J181" s="23"/>
      <c r="K181" s="23"/>
      <c r="P181" s="24"/>
    </row>
    <row r="182">
      <c r="J182" s="23"/>
      <c r="K182" s="23"/>
      <c r="P182" s="24"/>
    </row>
    <row r="183">
      <c r="J183" s="23"/>
      <c r="K183" s="23"/>
      <c r="P183" s="24"/>
    </row>
    <row r="184">
      <c r="J184" s="23"/>
      <c r="K184" s="23"/>
      <c r="P184" s="24"/>
    </row>
    <row r="185">
      <c r="J185" s="23"/>
      <c r="K185" s="23"/>
      <c r="P185" s="24"/>
    </row>
    <row r="186">
      <c r="J186" s="23"/>
      <c r="K186" s="23"/>
      <c r="P186" s="24"/>
    </row>
    <row r="187">
      <c r="J187" s="23"/>
      <c r="K187" s="23"/>
      <c r="P187" s="24"/>
    </row>
    <row r="188">
      <c r="J188" s="23"/>
      <c r="K188" s="23"/>
      <c r="P188" s="24"/>
    </row>
    <row r="189">
      <c r="J189" s="23"/>
      <c r="K189" s="23"/>
      <c r="P189" s="24"/>
    </row>
    <row r="190">
      <c r="J190" s="23"/>
      <c r="K190" s="23"/>
      <c r="P190" s="24"/>
    </row>
    <row r="191">
      <c r="J191" s="23"/>
      <c r="K191" s="23"/>
      <c r="P191" s="24"/>
    </row>
    <row r="192">
      <c r="J192" s="23"/>
      <c r="K192" s="23"/>
      <c r="P192" s="24"/>
    </row>
    <row r="193">
      <c r="J193" s="23"/>
      <c r="K193" s="23"/>
      <c r="P193" s="24"/>
    </row>
    <row r="194">
      <c r="J194" s="23"/>
      <c r="K194" s="23"/>
      <c r="P194" s="24"/>
    </row>
    <row r="195">
      <c r="J195" s="23"/>
      <c r="K195" s="23"/>
      <c r="P195" s="24"/>
    </row>
    <row r="196">
      <c r="J196" s="23"/>
      <c r="K196" s="23"/>
      <c r="P196" s="24"/>
    </row>
    <row r="197">
      <c r="J197" s="23"/>
      <c r="K197" s="23"/>
      <c r="P197" s="24"/>
    </row>
    <row r="198">
      <c r="J198" s="23"/>
      <c r="K198" s="23"/>
      <c r="P198" s="24"/>
    </row>
    <row r="199">
      <c r="J199" s="23"/>
      <c r="K199" s="23"/>
      <c r="P199" s="24"/>
    </row>
    <row r="200">
      <c r="J200" s="23"/>
      <c r="K200" s="23"/>
      <c r="P200" s="24"/>
    </row>
    <row r="201">
      <c r="J201" s="23"/>
      <c r="K201" s="23"/>
      <c r="P201" s="24"/>
    </row>
    <row r="202">
      <c r="J202" s="23"/>
      <c r="K202" s="23"/>
      <c r="P202" s="24"/>
    </row>
    <row r="203">
      <c r="J203" s="23"/>
      <c r="K203" s="23"/>
      <c r="P203" s="24"/>
    </row>
    <row r="204">
      <c r="J204" s="23"/>
      <c r="K204" s="23"/>
      <c r="P204" s="24"/>
    </row>
    <row r="205">
      <c r="J205" s="23"/>
      <c r="K205" s="23"/>
      <c r="P205" s="24"/>
    </row>
    <row r="206">
      <c r="J206" s="23"/>
      <c r="K206" s="23"/>
      <c r="P206" s="24"/>
    </row>
    <row r="207">
      <c r="J207" s="23"/>
      <c r="K207" s="23"/>
      <c r="P207" s="24"/>
    </row>
    <row r="208">
      <c r="J208" s="23"/>
      <c r="K208" s="23"/>
      <c r="P208" s="24"/>
    </row>
    <row r="209">
      <c r="J209" s="23"/>
      <c r="K209" s="23"/>
      <c r="P209" s="24"/>
    </row>
    <row r="210">
      <c r="J210" s="23"/>
      <c r="K210" s="23"/>
      <c r="P210" s="24"/>
    </row>
    <row r="211">
      <c r="J211" s="23"/>
      <c r="K211" s="23"/>
      <c r="P211" s="24"/>
    </row>
    <row r="212">
      <c r="J212" s="23"/>
      <c r="K212" s="23"/>
      <c r="P212" s="24"/>
    </row>
    <row r="213">
      <c r="J213" s="23"/>
      <c r="K213" s="23"/>
      <c r="P213" s="24"/>
    </row>
    <row r="214">
      <c r="J214" s="23"/>
      <c r="K214" s="23"/>
      <c r="P214" s="24"/>
    </row>
    <row r="215">
      <c r="J215" s="23"/>
      <c r="K215" s="23"/>
      <c r="P215" s="24"/>
    </row>
    <row r="216">
      <c r="J216" s="23"/>
      <c r="K216" s="23"/>
      <c r="P216" s="24"/>
    </row>
    <row r="217">
      <c r="J217" s="23"/>
      <c r="K217" s="23"/>
      <c r="P217" s="24"/>
    </row>
    <row r="218">
      <c r="J218" s="23"/>
      <c r="K218" s="23"/>
      <c r="P218" s="24"/>
    </row>
    <row r="219">
      <c r="J219" s="23"/>
      <c r="K219" s="23"/>
      <c r="P219" s="24"/>
    </row>
    <row r="220">
      <c r="J220" s="23"/>
      <c r="K220" s="23"/>
      <c r="P220" s="24"/>
    </row>
    <row r="221">
      <c r="J221" s="23"/>
      <c r="K221" s="23"/>
      <c r="P221" s="24"/>
    </row>
    <row r="222">
      <c r="J222" s="23"/>
      <c r="K222" s="23"/>
      <c r="P222" s="24"/>
    </row>
    <row r="223">
      <c r="J223" s="23"/>
      <c r="K223" s="23"/>
      <c r="P223" s="24"/>
    </row>
    <row r="224">
      <c r="J224" s="23"/>
      <c r="K224" s="23"/>
      <c r="P224" s="24"/>
    </row>
    <row r="225">
      <c r="J225" s="23"/>
      <c r="K225" s="23"/>
      <c r="P225" s="24"/>
    </row>
    <row r="226">
      <c r="J226" s="23"/>
      <c r="K226" s="23"/>
      <c r="P226" s="24"/>
    </row>
    <row r="227">
      <c r="J227" s="23"/>
      <c r="K227" s="23"/>
      <c r="P227" s="24"/>
    </row>
    <row r="228">
      <c r="J228" s="23"/>
      <c r="K228" s="23"/>
      <c r="P228" s="24"/>
    </row>
    <row r="229">
      <c r="J229" s="23"/>
      <c r="K229" s="23"/>
      <c r="P229" s="24"/>
    </row>
    <row r="230">
      <c r="J230" s="23"/>
      <c r="K230" s="23"/>
      <c r="P230" s="24"/>
    </row>
    <row r="231">
      <c r="J231" s="23"/>
      <c r="K231" s="23"/>
      <c r="P231" s="24"/>
    </row>
    <row r="232">
      <c r="J232" s="23"/>
      <c r="K232" s="23"/>
      <c r="P232" s="24"/>
    </row>
    <row r="233">
      <c r="J233" s="23"/>
      <c r="K233" s="23"/>
      <c r="P233" s="24"/>
    </row>
    <row r="234">
      <c r="J234" s="23"/>
      <c r="K234" s="23"/>
      <c r="P234" s="24"/>
    </row>
    <row r="235">
      <c r="J235" s="23"/>
      <c r="K235" s="23"/>
      <c r="P235" s="24"/>
    </row>
    <row r="236">
      <c r="J236" s="23"/>
      <c r="K236" s="23"/>
      <c r="P236" s="24"/>
    </row>
    <row r="237">
      <c r="J237" s="23"/>
      <c r="K237" s="23"/>
      <c r="P237" s="24"/>
    </row>
    <row r="238">
      <c r="J238" s="23"/>
      <c r="K238" s="23"/>
      <c r="P238" s="24"/>
    </row>
    <row r="239">
      <c r="J239" s="23"/>
      <c r="K239" s="23"/>
      <c r="P239" s="24"/>
    </row>
    <row r="240">
      <c r="J240" s="23"/>
      <c r="K240" s="23"/>
      <c r="P240" s="24"/>
    </row>
    <row r="241">
      <c r="J241" s="23"/>
      <c r="K241" s="23"/>
      <c r="P241" s="24"/>
    </row>
    <row r="242">
      <c r="J242" s="23"/>
      <c r="K242" s="23"/>
      <c r="P242" s="24"/>
    </row>
    <row r="243">
      <c r="J243" s="23"/>
      <c r="K243" s="23"/>
      <c r="P243" s="24"/>
    </row>
    <row r="244">
      <c r="J244" s="23"/>
      <c r="K244" s="23"/>
      <c r="P244" s="24"/>
    </row>
    <row r="245">
      <c r="J245" s="23"/>
      <c r="K245" s="23"/>
      <c r="P245" s="24"/>
    </row>
    <row r="246">
      <c r="J246" s="23"/>
      <c r="K246" s="23"/>
      <c r="P246" s="24"/>
    </row>
    <row r="247">
      <c r="J247" s="23"/>
      <c r="K247" s="23"/>
      <c r="P247" s="24"/>
    </row>
    <row r="248">
      <c r="J248" s="23"/>
      <c r="K248" s="23"/>
      <c r="P248" s="24"/>
    </row>
    <row r="249">
      <c r="J249" s="23"/>
      <c r="K249" s="23"/>
      <c r="P249" s="24"/>
    </row>
    <row r="250">
      <c r="J250" s="23"/>
      <c r="K250" s="23"/>
      <c r="P250" s="24"/>
    </row>
    <row r="251">
      <c r="J251" s="23"/>
      <c r="K251" s="23"/>
      <c r="P251" s="24"/>
    </row>
    <row r="252">
      <c r="J252" s="23"/>
      <c r="K252" s="23"/>
      <c r="P252" s="24"/>
    </row>
    <row r="253">
      <c r="J253" s="23"/>
      <c r="K253" s="23"/>
      <c r="P253" s="24"/>
    </row>
    <row r="254">
      <c r="J254" s="23"/>
      <c r="K254" s="23"/>
      <c r="P254" s="24"/>
    </row>
    <row r="255">
      <c r="J255" s="23"/>
      <c r="K255" s="23"/>
      <c r="P255" s="24"/>
    </row>
    <row r="256">
      <c r="J256" s="23"/>
      <c r="K256" s="23"/>
      <c r="P256" s="24"/>
    </row>
    <row r="257">
      <c r="J257" s="23"/>
      <c r="K257" s="23"/>
      <c r="P257" s="24"/>
    </row>
    <row r="258">
      <c r="J258" s="23"/>
      <c r="K258" s="23"/>
      <c r="P258" s="24"/>
    </row>
    <row r="259">
      <c r="J259" s="23"/>
      <c r="K259" s="23"/>
      <c r="P259" s="24"/>
    </row>
    <row r="260">
      <c r="J260" s="23"/>
      <c r="K260" s="23"/>
      <c r="P260" s="24"/>
    </row>
    <row r="261">
      <c r="J261" s="23"/>
      <c r="K261" s="23"/>
      <c r="P261" s="24"/>
    </row>
    <row r="262">
      <c r="J262" s="23"/>
      <c r="K262" s="23"/>
      <c r="P262" s="24"/>
    </row>
    <row r="263">
      <c r="J263" s="23"/>
      <c r="K263" s="23"/>
      <c r="P263" s="24"/>
    </row>
    <row r="264">
      <c r="J264" s="23"/>
      <c r="K264" s="23"/>
      <c r="P264" s="24"/>
    </row>
    <row r="265">
      <c r="J265" s="23"/>
      <c r="K265" s="23"/>
      <c r="P265" s="24"/>
    </row>
    <row r="266">
      <c r="J266" s="23"/>
      <c r="K266" s="23"/>
      <c r="P266" s="24"/>
    </row>
    <row r="267">
      <c r="J267" s="23"/>
      <c r="K267" s="23"/>
      <c r="P267" s="24"/>
    </row>
    <row r="268">
      <c r="J268" s="23"/>
      <c r="K268" s="23"/>
      <c r="P268" s="24"/>
    </row>
    <row r="269">
      <c r="J269" s="23"/>
      <c r="K269" s="23"/>
      <c r="P269" s="24"/>
    </row>
    <row r="270">
      <c r="J270" s="23"/>
      <c r="K270" s="23"/>
      <c r="P270" s="24"/>
    </row>
    <row r="271">
      <c r="J271" s="23"/>
      <c r="K271" s="23"/>
      <c r="P271" s="24"/>
    </row>
    <row r="272">
      <c r="J272" s="23"/>
      <c r="K272" s="23"/>
      <c r="P272" s="24"/>
    </row>
    <row r="273">
      <c r="J273" s="23"/>
      <c r="K273" s="23"/>
      <c r="P273" s="24"/>
    </row>
    <row r="274">
      <c r="J274" s="23"/>
      <c r="K274" s="23"/>
      <c r="P274" s="24"/>
    </row>
    <row r="275">
      <c r="J275" s="23"/>
      <c r="K275" s="23"/>
      <c r="P275" s="24"/>
    </row>
    <row r="276">
      <c r="J276" s="23"/>
      <c r="K276" s="23"/>
      <c r="P276" s="24"/>
    </row>
    <row r="277">
      <c r="J277" s="23"/>
      <c r="K277" s="23"/>
      <c r="P277" s="24"/>
    </row>
    <row r="278">
      <c r="J278" s="23"/>
      <c r="K278" s="23"/>
      <c r="P278" s="24"/>
    </row>
    <row r="279">
      <c r="J279" s="23"/>
      <c r="K279" s="23"/>
      <c r="P279" s="24"/>
    </row>
    <row r="280">
      <c r="J280" s="23"/>
      <c r="K280" s="23"/>
      <c r="P280" s="24"/>
    </row>
    <row r="281">
      <c r="J281" s="23"/>
      <c r="K281" s="23"/>
      <c r="P281" s="24"/>
    </row>
    <row r="282">
      <c r="J282" s="23"/>
      <c r="K282" s="23"/>
      <c r="P282" s="24"/>
    </row>
    <row r="283">
      <c r="J283" s="23"/>
      <c r="K283" s="23"/>
      <c r="P283" s="24"/>
    </row>
    <row r="284">
      <c r="J284" s="23"/>
      <c r="K284" s="23"/>
      <c r="P284" s="24"/>
    </row>
    <row r="285">
      <c r="J285" s="23"/>
      <c r="K285" s="23"/>
      <c r="P285" s="24"/>
    </row>
    <row r="286">
      <c r="J286" s="23"/>
      <c r="K286" s="23"/>
      <c r="P286" s="24"/>
    </row>
    <row r="287">
      <c r="J287" s="23"/>
      <c r="K287" s="23"/>
      <c r="P287" s="24"/>
    </row>
    <row r="288">
      <c r="J288" s="23"/>
      <c r="K288" s="23"/>
      <c r="P288" s="24"/>
    </row>
    <row r="289">
      <c r="J289" s="23"/>
      <c r="K289" s="23"/>
      <c r="P289" s="24"/>
    </row>
    <row r="290">
      <c r="J290" s="23"/>
      <c r="K290" s="23"/>
      <c r="P290" s="24"/>
    </row>
    <row r="291">
      <c r="J291" s="23"/>
      <c r="K291" s="23"/>
      <c r="P291" s="24"/>
    </row>
    <row r="292">
      <c r="J292" s="23"/>
      <c r="K292" s="23"/>
      <c r="P292" s="24"/>
    </row>
    <row r="293">
      <c r="J293" s="23"/>
      <c r="K293" s="23"/>
      <c r="P293" s="24"/>
    </row>
    <row r="294">
      <c r="J294" s="23"/>
      <c r="K294" s="23"/>
      <c r="P294" s="24"/>
    </row>
    <row r="295">
      <c r="J295" s="23"/>
      <c r="K295" s="23"/>
      <c r="P295" s="24"/>
    </row>
    <row r="296">
      <c r="J296" s="23"/>
      <c r="K296" s="23"/>
      <c r="P296" s="24"/>
    </row>
    <row r="297">
      <c r="J297" s="23"/>
      <c r="K297" s="23"/>
      <c r="P297" s="24"/>
    </row>
    <row r="298">
      <c r="J298" s="23"/>
      <c r="K298" s="23"/>
      <c r="P298" s="24"/>
    </row>
    <row r="299">
      <c r="J299" s="23"/>
      <c r="K299" s="23"/>
      <c r="P299" s="24"/>
    </row>
    <row r="300">
      <c r="J300" s="23"/>
      <c r="K300" s="23"/>
      <c r="P300" s="24"/>
    </row>
    <row r="301">
      <c r="J301" s="23"/>
      <c r="K301" s="23"/>
      <c r="P301" s="24"/>
    </row>
    <row r="302">
      <c r="J302" s="23"/>
      <c r="K302" s="23"/>
      <c r="P302" s="24"/>
    </row>
    <row r="303">
      <c r="J303" s="23"/>
      <c r="K303" s="23"/>
      <c r="P303" s="24"/>
    </row>
    <row r="304">
      <c r="J304" s="23"/>
      <c r="K304" s="23"/>
      <c r="P304" s="24"/>
    </row>
    <row r="305">
      <c r="J305" s="23"/>
      <c r="K305" s="23"/>
      <c r="P305" s="24"/>
    </row>
    <row r="306">
      <c r="J306" s="23"/>
      <c r="K306" s="23"/>
      <c r="P306" s="24"/>
    </row>
    <row r="307">
      <c r="J307" s="23"/>
      <c r="K307" s="23"/>
      <c r="P307" s="24"/>
    </row>
    <row r="308">
      <c r="J308" s="23"/>
      <c r="K308" s="23"/>
      <c r="P308" s="24"/>
    </row>
    <row r="309">
      <c r="J309" s="23"/>
      <c r="K309" s="23"/>
      <c r="P309" s="24"/>
    </row>
    <row r="310">
      <c r="J310" s="23"/>
      <c r="K310" s="23"/>
      <c r="P310" s="24"/>
    </row>
    <row r="311">
      <c r="J311" s="23"/>
      <c r="K311" s="23"/>
      <c r="P311" s="24"/>
    </row>
    <row r="312">
      <c r="J312" s="23"/>
      <c r="K312" s="23"/>
      <c r="P312" s="24"/>
    </row>
    <row r="313">
      <c r="J313" s="23"/>
      <c r="K313" s="23"/>
      <c r="P313" s="24"/>
    </row>
    <row r="314">
      <c r="J314" s="23"/>
      <c r="K314" s="23"/>
      <c r="P314" s="24"/>
    </row>
    <row r="315">
      <c r="J315" s="23"/>
      <c r="K315" s="23"/>
      <c r="P315" s="24"/>
    </row>
    <row r="316">
      <c r="J316" s="23"/>
      <c r="K316" s="23"/>
      <c r="P316" s="24"/>
    </row>
    <row r="317">
      <c r="J317" s="23"/>
      <c r="K317" s="23"/>
      <c r="P317" s="24"/>
    </row>
    <row r="318">
      <c r="J318" s="23"/>
      <c r="K318" s="23"/>
      <c r="P318" s="24"/>
    </row>
    <row r="319">
      <c r="J319" s="23"/>
      <c r="K319" s="23"/>
      <c r="P319" s="24"/>
    </row>
    <row r="320">
      <c r="J320" s="23"/>
      <c r="K320" s="23"/>
      <c r="P320" s="24"/>
    </row>
    <row r="321">
      <c r="J321" s="23"/>
      <c r="K321" s="23"/>
      <c r="P321" s="24"/>
    </row>
    <row r="322">
      <c r="J322" s="23"/>
      <c r="K322" s="23"/>
      <c r="P322" s="24"/>
    </row>
    <row r="323">
      <c r="J323" s="23"/>
      <c r="K323" s="23"/>
      <c r="P323" s="24"/>
    </row>
    <row r="324">
      <c r="J324" s="23"/>
      <c r="K324" s="23"/>
      <c r="P324" s="24"/>
    </row>
    <row r="325">
      <c r="J325" s="23"/>
      <c r="K325" s="23"/>
      <c r="P325" s="24"/>
    </row>
    <row r="326">
      <c r="J326" s="23"/>
      <c r="K326" s="23"/>
      <c r="P326" s="24"/>
    </row>
    <row r="327">
      <c r="J327" s="23"/>
      <c r="K327" s="23"/>
      <c r="P327" s="24"/>
    </row>
    <row r="328">
      <c r="J328" s="23"/>
      <c r="K328" s="23"/>
      <c r="P328" s="24"/>
    </row>
    <row r="329">
      <c r="J329" s="23"/>
      <c r="K329" s="23"/>
      <c r="P329" s="24"/>
    </row>
    <row r="330">
      <c r="J330" s="23"/>
      <c r="K330" s="23"/>
      <c r="P330" s="24"/>
    </row>
    <row r="331">
      <c r="J331" s="23"/>
      <c r="K331" s="23"/>
      <c r="P331" s="24"/>
    </row>
    <row r="332">
      <c r="J332" s="23"/>
      <c r="K332" s="23"/>
      <c r="P332" s="24"/>
    </row>
    <row r="333">
      <c r="J333" s="23"/>
      <c r="K333" s="23"/>
      <c r="P333" s="24"/>
    </row>
    <row r="334">
      <c r="J334" s="23"/>
      <c r="K334" s="23"/>
      <c r="P334" s="24"/>
    </row>
    <row r="335">
      <c r="J335" s="23"/>
      <c r="K335" s="23"/>
      <c r="P335" s="24"/>
    </row>
    <row r="336">
      <c r="J336" s="23"/>
      <c r="K336" s="23"/>
      <c r="P336" s="24"/>
    </row>
    <row r="337">
      <c r="J337" s="23"/>
      <c r="K337" s="23"/>
      <c r="P337" s="24"/>
    </row>
    <row r="338">
      <c r="J338" s="23"/>
      <c r="K338" s="23"/>
      <c r="P338" s="24"/>
    </row>
    <row r="339">
      <c r="J339" s="23"/>
      <c r="K339" s="23"/>
      <c r="P339" s="24"/>
    </row>
    <row r="340">
      <c r="J340" s="23"/>
      <c r="K340" s="23"/>
      <c r="P340" s="24"/>
    </row>
    <row r="341">
      <c r="J341" s="23"/>
      <c r="K341" s="23"/>
      <c r="P341" s="24"/>
    </row>
    <row r="342">
      <c r="J342" s="23"/>
      <c r="K342" s="23"/>
      <c r="P342" s="24"/>
    </row>
    <row r="343">
      <c r="J343" s="23"/>
      <c r="K343" s="23"/>
      <c r="P343" s="24"/>
    </row>
    <row r="344">
      <c r="J344" s="23"/>
      <c r="K344" s="23"/>
      <c r="P344" s="24"/>
    </row>
    <row r="345">
      <c r="J345" s="23"/>
      <c r="K345" s="23"/>
      <c r="P345" s="24"/>
    </row>
    <row r="346">
      <c r="J346" s="23"/>
      <c r="K346" s="23"/>
      <c r="P346" s="24"/>
    </row>
    <row r="347">
      <c r="J347" s="23"/>
      <c r="K347" s="23"/>
      <c r="P347" s="24"/>
    </row>
    <row r="348">
      <c r="J348" s="23"/>
      <c r="K348" s="23"/>
      <c r="P348" s="24"/>
    </row>
    <row r="349">
      <c r="J349" s="23"/>
      <c r="K349" s="23"/>
      <c r="P349" s="24"/>
    </row>
    <row r="350">
      <c r="J350" s="23"/>
      <c r="K350" s="23"/>
      <c r="P350" s="24"/>
    </row>
    <row r="351">
      <c r="J351" s="23"/>
      <c r="K351" s="23"/>
      <c r="P351" s="24"/>
    </row>
    <row r="352">
      <c r="J352" s="23"/>
      <c r="K352" s="23"/>
      <c r="P352" s="24"/>
    </row>
    <row r="353">
      <c r="J353" s="23"/>
      <c r="K353" s="23"/>
      <c r="P353" s="24"/>
    </row>
    <row r="354">
      <c r="J354" s="23"/>
      <c r="K354" s="23"/>
      <c r="P354" s="24"/>
    </row>
    <row r="355">
      <c r="J355" s="23"/>
      <c r="K355" s="23"/>
      <c r="P355" s="24"/>
    </row>
    <row r="356">
      <c r="J356" s="23"/>
      <c r="K356" s="23"/>
      <c r="P356" s="24"/>
    </row>
    <row r="357">
      <c r="J357" s="23"/>
      <c r="K357" s="23"/>
      <c r="P357" s="24"/>
    </row>
    <row r="358">
      <c r="J358" s="23"/>
      <c r="K358" s="23"/>
      <c r="P358" s="24"/>
    </row>
    <row r="359">
      <c r="J359" s="23"/>
      <c r="K359" s="23"/>
      <c r="P359" s="24"/>
    </row>
    <row r="360">
      <c r="J360" s="23"/>
      <c r="K360" s="23"/>
      <c r="P360" s="24"/>
    </row>
    <row r="361">
      <c r="J361" s="23"/>
      <c r="K361" s="23"/>
      <c r="P361" s="24"/>
    </row>
    <row r="362">
      <c r="J362" s="23"/>
      <c r="K362" s="23"/>
      <c r="P362" s="24"/>
    </row>
    <row r="363">
      <c r="J363" s="23"/>
      <c r="K363" s="23"/>
      <c r="P363" s="24"/>
    </row>
    <row r="364">
      <c r="J364" s="23"/>
      <c r="K364" s="23"/>
      <c r="P364" s="24"/>
    </row>
    <row r="365">
      <c r="J365" s="23"/>
      <c r="K365" s="23"/>
      <c r="P365" s="24"/>
    </row>
    <row r="366">
      <c r="J366" s="23"/>
      <c r="K366" s="23"/>
      <c r="P366" s="24"/>
    </row>
    <row r="367">
      <c r="J367" s="23"/>
      <c r="K367" s="23"/>
      <c r="P367" s="24"/>
    </row>
    <row r="368">
      <c r="J368" s="23"/>
      <c r="K368" s="23"/>
      <c r="P368" s="24"/>
    </row>
    <row r="369">
      <c r="J369" s="23"/>
      <c r="K369" s="23"/>
      <c r="P369" s="24"/>
    </row>
    <row r="370">
      <c r="J370" s="23"/>
      <c r="K370" s="23"/>
      <c r="P370" s="24"/>
    </row>
    <row r="371">
      <c r="J371" s="23"/>
      <c r="K371" s="23"/>
      <c r="P371" s="24"/>
    </row>
    <row r="372">
      <c r="J372" s="23"/>
      <c r="K372" s="23"/>
      <c r="P372" s="24"/>
    </row>
    <row r="373">
      <c r="J373" s="23"/>
      <c r="K373" s="23"/>
      <c r="P373" s="24"/>
    </row>
    <row r="374">
      <c r="J374" s="23"/>
      <c r="K374" s="23"/>
      <c r="P374" s="24"/>
    </row>
    <row r="375">
      <c r="J375" s="23"/>
      <c r="K375" s="23"/>
      <c r="P375" s="24"/>
    </row>
    <row r="376">
      <c r="J376" s="23"/>
      <c r="K376" s="23"/>
      <c r="P376" s="24"/>
    </row>
    <row r="377">
      <c r="J377" s="23"/>
      <c r="K377" s="23"/>
      <c r="P377" s="24"/>
    </row>
    <row r="378">
      <c r="J378" s="23"/>
      <c r="K378" s="23"/>
      <c r="P378" s="24"/>
    </row>
    <row r="379">
      <c r="J379" s="23"/>
      <c r="K379" s="23"/>
      <c r="P379" s="24"/>
    </row>
    <row r="380">
      <c r="J380" s="23"/>
      <c r="K380" s="23"/>
      <c r="P380" s="24"/>
    </row>
    <row r="381">
      <c r="J381" s="23"/>
      <c r="K381" s="23"/>
      <c r="P381" s="24"/>
    </row>
    <row r="382">
      <c r="J382" s="23"/>
      <c r="K382" s="23"/>
      <c r="P382" s="24"/>
    </row>
    <row r="383">
      <c r="J383" s="23"/>
      <c r="K383" s="23"/>
      <c r="P383" s="24"/>
    </row>
    <row r="384">
      <c r="J384" s="23"/>
      <c r="K384" s="23"/>
      <c r="P384" s="24"/>
    </row>
    <row r="385">
      <c r="J385" s="23"/>
      <c r="K385" s="23"/>
      <c r="P385" s="24"/>
    </row>
    <row r="386">
      <c r="J386" s="23"/>
      <c r="K386" s="23"/>
      <c r="P386" s="24"/>
    </row>
    <row r="387">
      <c r="J387" s="23"/>
      <c r="K387" s="23"/>
      <c r="P387" s="24"/>
    </row>
    <row r="388">
      <c r="J388" s="23"/>
      <c r="K388" s="23"/>
      <c r="P388" s="24"/>
    </row>
    <row r="389">
      <c r="J389" s="23"/>
      <c r="K389" s="23"/>
      <c r="P389" s="24"/>
    </row>
    <row r="390">
      <c r="J390" s="23"/>
      <c r="K390" s="23"/>
      <c r="P390" s="24"/>
    </row>
    <row r="391">
      <c r="J391" s="23"/>
      <c r="K391" s="23"/>
      <c r="P391" s="24"/>
    </row>
    <row r="392">
      <c r="J392" s="23"/>
      <c r="K392" s="23"/>
      <c r="P392" s="24"/>
    </row>
    <row r="393">
      <c r="J393" s="23"/>
      <c r="K393" s="23"/>
      <c r="P393" s="24"/>
    </row>
    <row r="394">
      <c r="J394" s="23"/>
      <c r="K394" s="23"/>
      <c r="P394" s="24"/>
    </row>
    <row r="395">
      <c r="J395" s="23"/>
      <c r="K395" s="23"/>
      <c r="P395" s="24"/>
    </row>
    <row r="396">
      <c r="J396" s="23"/>
      <c r="K396" s="23"/>
      <c r="P396" s="24"/>
    </row>
    <row r="397">
      <c r="J397" s="23"/>
      <c r="K397" s="23"/>
      <c r="P397" s="24"/>
    </row>
    <row r="398">
      <c r="J398" s="23"/>
      <c r="K398" s="23"/>
      <c r="P398" s="24"/>
    </row>
    <row r="399">
      <c r="J399" s="23"/>
      <c r="K399" s="23"/>
      <c r="P399" s="24"/>
    </row>
    <row r="400">
      <c r="J400" s="23"/>
      <c r="K400" s="23"/>
      <c r="P400" s="24"/>
    </row>
    <row r="401">
      <c r="J401" s="23"/>
      <c r="K401" s="23"/>
      <c r="P401" s="24"/>
    </row>
    <row r="402">
      <c r="J402" s="23"/>
      <c r="K402" s="23"/>
      <c r="P402" s="24"/>
    </row>
    <row r="403">
      <c r="J403" s="23"/>
      <c r="K403" s="23"/>
      <c r="P403" s="24"/>
    </row>
    <row r="404">
      <c r="J404" s="23"/>
      <c r="K404" s="23"/>
      <c r="P404" s="24"/>
    </row>
    <row r="405">
      <c r="J405" s="23"/>
      <c r="K405" s="23"/>
      <c r="P405" s="24"/>
    </row>
    <row r="406">
      <c r="J406" s="23"/>
      <c r="K406" s="23"/>
      <c r="P406" s="24"/>
    </row>
    <row r="407">
      <c r="J407" s="23"/>
      <c r="K407" s="23"/>
      <c r="P407" s="24"/>
    </row>
    <row r="408">
      <c r="J408" s="23"/>
      <c r="K408" s="23"/>
      <c r="P408" s="24"/>
    </row>
    <row r="409">
      <c r="J409" s="23"/>
      <c r="K409" s="23"/>
      <c r="P409" s="24"/>
    </row>
    <row r="410">
      <c r="J410" s="23"/>
      <c r="K410" s="23"/>
      <c r="P410" s="24"/>
    </row>
    <row r="411">
      <c r="J411" s="23"/>
      <c r="K411" s="23"/>
      <c r="P411" s="24"/>
    </row>
    <row r="412">
      <c r="J412" s="23"/>
      <c r="K412" s="23"/>
      <c r="P412" s="24"/>
    </row>
    <row r="413">
      <c r="J413" s="23"/>
      <c r="K413" s="23"/>
      <c r="P413" s="24"/>
    </row>
    <row r="414">
      <c r="J414" s="23"/>
      <c r="K414" s="23"/>
      <c r="P414" s="24"/>
    </row>
    <row r="415">
      <c r="J415" s="23"/>
      <c r="K415" s="23"/>
      <c r="P415" s="24"/>
    </row>
    <row r="416">
      <c r="J416" s="23"/>
      <c r="K416" s="23"/>
      <c r="P416" s="24"/>
    </row>
    <row r="417">
      <c r="J417" s="23"/>
      <c r="K417" s="23"/>
      <c r="P417" s="24"/>
    </row>
    <row r="418">
      <c r="J418" s="23"/>
      <c r="K418" s="23"/>
      <c r="P418" s="24"/>
    </row>
    <row r="419">
      <c r="J419" s="23"/>
      <c r="K419" s="23"/>
      <c r="P419" s="24"/>
    </row>
    <row r="420">
      <c r="J420" s="23"/>
      <c r="K420" s="23"/>
      <c r="P420" s="24"/>
    </row>
    <row r="421">
      <c r="J421" s="23"/>
      <c r="K421" s="23"/>
      <c r="P421" s="24"/>
    </row>
    <row r="422">
      <c r="J422" s="23"/>
      <c r="K422" s="23"/>
      <c r="P422" s="24"/>
    </row>
    <row r="423">
      <c r="J423" s="23"/>
      <c r="K423" s="23"/>
      <c r="P423" s="24"/>
    </row>
    <row r="424">
      <c r="J424" s="23"/>
      <c r="K424" s="23"/>
      <c r="P424" s="24"/>
    </row>
    <row r="425">
      <c r="J425" s="23"/>
      <c r="K425" s="23"/>
      <c r="P425" s="24"/>
    </row>
    <row r="426">
      <c r="J426" s="23"/>
      <c r="K426" s="23"/>
      <c r="P426" s="24"/>
    </row>
    <row r="427">
      <c r="J427" s="23"/>
      <c r="K427" s="23"/>
      <c r="P427" s="24"/>
    </row>
    <row r="428">
      <c r="J428" s="23"/>
      <c r="K428" s="23"/>
      <c r="P428" s="24"/>
    </row>
    <row r="429">
      <c r="J429" s="23"/>
      <c r="K429" s="23"/>
      <c r="P429" s="24"/>
    </row>
    <row r="430">
      <c r="J430" s="23"/>
      <c r="K430" s="23"/>
      <c r="P430" s="24"/>
    </row>
    <row r="431">
      <c r="J431" s="23"/>
      <c r="K431" s="23"/>
      <c r="P431" s="24"/>
    </row>
    <row r="432">
      <c r="J432" s="23"/>
      <c r="K432" s="23"/>
      <c r="P432" s="24"/>
    </row>
    <row r="433">
      <c r="J433" s="23"/>
      <c r="K433" s="23"/>
      <c r="P433" s="24"/>
    </row>
    <row r="434">
      <c r="J434" s="23"/>
      <c r="K434" s="23"/>
      <c r="P434" s="24"/>
    </row>
    <row r="435">
      <c r="J435" s="23"/>
      <c r="K435" s="23"/>
      <c r="P435" s="24"/>
    </row>
    <row r="436">
      <c r="J436" s="23"/>
      <c r="K436" s="23"/>
      <c r="P436" s="24"/>
    </row>
    <row r="437">
      <c r="J437" s="23"/>
      <c r="K437" s="23"/>
      <c r="P437" s="24"/>
    </row>
    <row r="438">
      <c r="J438" s="23"/>
      <c r="K438" s="23"/>
      <c r="P438" s="24"/>
    </row>
    <row r="439">
      <c r="J439" s="23"/>
      <c r="K439" s="23"/>
      <c r="P439" s="24"/>
    </row>
    <row r="440">
      <c r="J440" s="23"/>
      <c r="K440" s="23"/>
      <c r="P440" s="24"/>
    </row>
    <row r="441">
      <c r="J441" s="23"/>
      <c r="K441" s="23"/>
      <c r="P441" s="24"/>
    </row>
    <row r="442">
      <c r="J442" s="23"/>
      <c r="K442" s="23"/>
      <c r="P442" s="24"/>
    </row>
    <row r="443">
      <c r="J443" s="23"/>
      <c r="K443" s="23"/>
      <c r="P443" s="24"/>
    </row>
    <row r="444">
      <c r="J444" s="23"/>
      <c r="K444" s="23"/>
      <c r="P444" s="24"/>
    </row>
    <row r="445">
      <c r="J445" s="23"/>
      <c r="K445" s="23"/>
      <c r="P445" s="24"/>
    </row>
    <row r="446">
      <c r="J446" s="23"/>
      <c r="K446" s="23"/>
      <c r="P446" s="24"/>
    </row>
    <row r="447">
      <c r="J447" s="23"/>
      <c r="K447" s="23"/>
      <c r="P447" s="24"/>
    </row>
    <row r="448">
      <c r="J448" s="23"/>
      <c r="K448" s="23"/>
      <c r="P448" s="24"/>
    </row>
    <row r="449">
      <c r="J449" s="23"/>
      <c r="K449" s="23"/>
      <c r="P449" s="24"/>
    </row>
    <row r="450">
      <c r="J450" s="23"/>
      <c r="K450" s="23"/>
      <c r="P450" s="24"/>
    </row>
    <row r="451">
      <c r="J451" s="23"/>
      <c r="K451" s="23"/>
      <c r="P451" s="24"/>
    </row>
    <row r="452">
      <c r="J452" s="23"/>
      <c r="K452" s="23"/>
      <c r="P452" s="24"/>
    </row>
    <row r="453">
      <c r="J453" s="23"/>
      <c r="K453" s="23"/>
      <c r="P453" s="24"/>
    </row>
    <row r="454">
      <c r="J454" s="23"/>
      <c r="K454" s="23"/>
      <c r="P454" s="24"/>
    </row>
    <row r="455">
      <c r="J455" s="23"/>
      <c r="K455" s="23"/>
      <c r="P455" s="24"/>
    </row>
    <row r="456">
      <c r="J456" s="23"/>
      <c r="K456" s="23"/>
      <c r="P456" s="24"/>
    </row>
    <row r="457">
      <c r="J457" s="23"/>
      <c r="K457" s="23"/>
      <c r="P457" s="24"/>
    </row>
    <row r="458">
      <c r="J458" s="23"/>
      <c r="K458" s="23"/>
      <c r="P458" s="24"/>
    </row>
    <row r="459">
      <c r="J459" s="23"/>
      <c r="K459" s="23"/>
      <c r="P459" s="24"/>
    </row>
    <row r="460">
      <c r="J460" s="23"/>
      <c r="K460" s="23"/>
      <c r="P460" s="24"/>
    </row>
    <row r="461">
      <c r="J461" s="23"/>
      <c r="K461" s="23"/>
      <c r="P461" s="24"/>
    </row>
    <row r="462">
      <c r="J462" s="23"/>
      <c r="K462" s="23"/>
      <c r="P462" s="24"/>
    </row>
    <row r="463">
      <c r="J463" s="23"/>
      <c r="K463" s="23"/>
      <c r="P463" s="24"/>
    </row>
    <row r="464">
      <c r="J464" s="23"/>
      <c r="K464" s="23"/>
      <c r="P464" s="24"/>
    </row>
    <row r="465">
      <c r="J465" s="23"/>
      <c r="K465" s="23"/>
      <c r="P465" s="24"/>
    </row>
    <row r="466">
      <c r="J466" s="23"/>
      <c r="K466" s="23"/>
      <c r="P466" s="24"/>
    </row>
    <row r="467">
      <c r="J467" s="23"/>
      <c r="K467" s="23"/>
      <c r="P467" s="24"/>
    </row>
    <row r="468">
      <c r="J468" s="23"/>
      <c r="K468" s="23"/>
      <c r="P468" s="24"/>
    </row>
    <row r="469">
      <c r="J469" s="23"/>
      <c r="K469" s="23"/>
      <c r="P469" s="24"/>
    </row>
    <row r="470">
      <c r="J470" s="23"/>
      <c r="K470" s="23"/>
      <c r="P470" s="24"/>
    </row>
    <row r="471">
      <c r="J471" s="23"/>
      <c r="K471" s="23"/>
      <c r="P471" s="24"/>
    </row>
    <row r="472">
      <c r="J472" s="23"/>
      <c r="K472" s="23"/>
      <c r="P472" s="24"/>
    </row>
    <row r="473">
      <c r="J473" s="23"/>
      <c r="K473" s="23"/>
      <c r="P473" s="24"/>
    </row>
    <row r="474">
      <c r="J474" s="23"/>
      <c r="K474" s="23"/>
      <c r="P474" s="24"/>
    </row>
    <row r="475">
      <c r="J475" s="23"/>
      <c r="K475" s="23"/>
      <c r="P475" s="24"/>
    </row>
    <row r="476">
      <c r="J476" s="23"/>
      <c r="K476" s="23"/>
      <c r="P476" s="24"/>
    </row>
    <row r="477">
      <c r="J477" s="23"/>
      <c r="K477" s="23"/>
      <c r="P477" s="24"/>
    </row>
    <row r="478">
      <c r="J478" s="23"/>
      <c r="K478" s="23"/>
      <c r="P478" s="24"/>
    </row>
    <row r="479">
      <c r="J479" s="23"/>
      <c r="K479" s="23"/>
      <c r="P479" s="24"/>
    </row>
    <row r="480">
      <c r="J480" s="23"/>
      <c r="K480" s="23"/>
      <c r="P480" s="24"/>
    </row>
    <row r="481">
      <c r="J481" s="23"/>
      <c r="K481" s="23"/>
      <c r="P481" s="24"/>
    </row>
    <row r="482">
      <c r="J482" s="23"/>
      <c r="K482" s="23"/>
      <c r="P482" s="24"/>
    </row>
    <row r="483">
      <c r="J483" s="23"/>
      <c r="K483" s="23"/>
      <c r="P483" s="24"/>
    </row>
    <row r="484">
      <c r="J484" s="23"/>
      <c r="K484" s="23"/>
      <c r="P484" s="24"/>
    </row>
    <row r="485">
      <c r="J485" s="23"/>
      <c r="K485" s="23"/>
      <c r="P485" s="24"/>
    </row>
    <row r="486">
      <c r="J486" s="23"/>
      <c r="K486" s="23"/>
      <c r="P486" s="24"/>
    </row>
    <row r="487">
      <c r="J487" s="23"/>
      <c r="K487" s="23"/>
      <c r="P487" s="24"/>
    </row>
    <row r="488">
      <c r="J488" s="23"/>
      <c r="K488" s="23"/>
      <c r="P488" s="24"/>
    </row>
    <row r="489">
      <c r="J489" s="23"/>
      <c r="K489" s="23"/>
      <c r="P489" s="24"/>
    </row>
    <row r="490">
      <c r="J490" s="23"/>
      <c r="K490" s="23"/>
      <c r="P490" s="24"/>
    </row>
    <row r="491">
      <c r="J491" s="23"/>
      <c r="K491" s="23"/>
      <c r="P491" s="24"/>
    </row>
    <row r="492">
      <c r="J492" s="23"/>
      <c r="K492" s="23"/>
      <c r="P492" s="24"/>
    </row>
    <row r="493">
      <c r="J493" s="23"/>
      <c r="K493" s="23"/>
      <c r="P493" s="24"/>
    </row>
    <row r="494">
      <c r="J494" s="23"/>
      <c r="K494" s="23"/>
      <c r="P494" s="24"/>
    </row>
    <row r="495">
      <c r="J495" s="23"/>
      <c r="K495" s="23"/>
      <c r="P495" s="24"/>
    </row>
    <row r="496">
      <c r="J496" s="23"/>
      <c r="K496" s="23"/>
      <c r="P496" s="24"/>
    </row>
    <row r="497">
      <c r="J497" s="23"/>
      <c r="K497" s="23"/>
      <c r="P497" s="24"/>
    </row>
    <row r="498">
      <c r="J498" s="23"/>
      <c r="K498" s="23"/>
      <c r="P498" s="24"/>
    </row>
    <row r="499">
      <c r="J499" s="23"/>
      <c r="K499" s="23"/>
      <c r="P499" s="24"/>
    </row>
    <row r="500">
      <c r="J500" s="23"/>
      <c r="K500" s="23"/>
      <c r="P500" s="24"/>
    </row>
    <row r="501">
      <c r="J501" s="23"/>
      <c r="K501" s="23"/>
      <c r="P501" s="24"/>
    </row>
    <row r="502">
      <c r="J502" s="23"/>
      <c r="K502" s="23"/>
      <c r="P502" s="24"/>
    </row>
    <row r="503">
      <c r="J503" s="23"/>
      <c r="K503" s="23"/>
      <c r="P503" s="24"/>
    </row>
    <row r="504">
      <c r="J504" s="23"/>
      <c r="K504" s="23"/>
      <c r="P504" s="24"/>
    </row>
    <row r="505">
      <c r="J505" s="23"/>
      <c r="K505" s="23"/>
      <c r="P505" s="24"/>
    </row>
    <row r="506">
      <c r="J506" s="23"/>
      <c r="K506" s="23"/>
      <c r="P506" s="24"/>
    </row>
    <row r="507">
      <c r="J507" s="23"/>
      <c r="K507" s="23"/>
      <c r="P507" s="24"/>
    </row>
    <row r="508">
      <c r="J508" s="23"/>
      <c r="K508" s="23"/>
      <c r="P508" s="24"/>
    </row>
    <row r="509">
      <c r="J509" s="23"/>
      <c r="K509" s="23"/>
      <c r="P509" s="24"/>
    </row>
    <row r="510">
      <c r="J510" s="23"/>
      <c r="K510" s="23"/>
      <c r="P510" s="24"/>
    </row>
    <row r="511">
      <c r="J511" s="23"/>
      <c r="K511" s="23"/>
      <c r="P511" s="24"/>
    </row>
    <row r="512">
      <c r="J512" s="23"/>
      <c r="K512" s="23"/>
      <c r="P512" s="24"/>
    </row>
    <row r="513">
      <c r="J513" s="23"/>
      <c r="K513" s="23"/>
      <c r="P513" s="24"/>
    </row>
    <row r="514">
      <c r="J514" s="23"/>
      <c r="K514" s="23"/>
      <c r="P514" s="24"/>
    </row>
    <row r="515">
      <c r="J515" s="23"/>
      <c r="K515" s="23"/>
      <c r="P515" s="24"/>
    </row>
    <row r="516">
      <c r="J516" s="23"/>
      <c r="K516" s="23"/>
      <c r="P516" s="24"/>
    </row>
    <row r="517">
      <c r="J517" s="23"/>
      <c r="K517" s="23"/>
      <c r="P517" s="24"/>
    </row>
    <row r="518">
      <c r="J518" s="23"/>
      <c r="K518" s="23"/>
      <c r="P518" s="24"/>
    </row>
    <row r="519">
      <c r="J519" s="23"/>
      <c r="K519" s="23"/>
      <c r="P519" s="24"/>
    </row>
    <row r="520">
      <c r="J520" s="23"/>
      <c r="K520" s="23"/>
      <c r="P520" s="24"/>
    </row>
    <row r="521">
      <c r="J521" s="23"/>
      <c r="K521" s="23"/>
      <c r="P521" s="24"/>
    </row>
    <row r="522">
      <c r="J522" s="23"/>
      <c r="K522" s="23"/>
      <c r="P522" s="24"/>
    </row>
    <row r="523">
      <c r="J523" s="23"/>
      <c r="K523" s="23"/>
      <c r="P523" s="24"/>
    </row>
    <row r="524">
      <c r="J524" s="23"/>
      <c r="K524" s="23"/>
      <c r="P524" s="24"/>
    </row>
    <row r="525">
      <c r="J525" s="23"/>
      <c r="K525" s="23"/>
      <c r="P525" s="24"/>
    </row>
    <row r="526">
      <c r="J526" s="23"/>
      <c r="K526" s="23"/>
      <c r="P526" s="24"/>
    </row>
    <row r="527">
      <c r="J527" s="23"/>
      <c r="K527" s="23"/>
      <c r="P527" s="24"/>
    </row>
    <row r="528">
      <c r="J528" s="23"/>
      <c r="K528" s="23"/>
      <c r="P528" s="24"/>
    </row>
    <row r="529">
      <c r="J529" s="23"/>
      <c r="K529" s="23"/>
      <c r="P529" s="24"/>
    </row>
    <row r="530">
      <c r="J530" s="23"/>
      <c r="K530" s="23"/>
      <c r="P530" s="24"/>
    </row>
    <row r="531">
      <c r="J531" s="23"/>
      <c r="K531" s="23"/>
      <c r="P531" s="24"/>
    </row>
    <row r="532">
      <c r="J532" s="23"/>
      <c r="K532" s="23"/>
      <c r="P532" s="24"/>
    </row>
    <row r="533">
      <c r="J533" s="23"/>
      <c r="K533" s="23"/>
      <c r="P533" s="24"/>
    </row>
    <row r="534">
      <c r="J534" s="23"/>
      <c r="K534" s="23"/>
      <c r="P534" s="24"/>
    </row>
    <row r="535">
      <c r="J535" s="23"/>
      <c r="K535" s="23"/>
      <c r="P535" s="24"/>
    </row>
    <row r="536">
      <c r="J536" s="23"/>
      <c r="K536" s="23"/>
      <c r="P536" s="24"/>
    </row>
    <row r="537">
      <c r="J537" s="23"/>
      <c r="K537" s="23"/>
      <c r="P537" s="24"/>
    </row>
    <row r="538">
      <c r="J538" s="23"/>
      <c r="K538" s="23"/>
      <c r="P538" s="24"/>
    </row>
    <row r="539">
      <c r="J539" s="23"/>
      <c r="K539" s="23"/>
      <c r="P539" s="24"/>
    </row>
    <row r="540">
      <c r="J540" s="23"/>
      <c r="K540" s="23"/>
      <c r="P540" s="24"/>
    </row>
    <row r="541">
      <c r="J541" s="23"/>
      <c r="K541" s="23"/>
      <c r="P541" s="24"/>
    </row>
    <row r="542">
      <c r="J542" s="23"/>
      <c r="K542" s="23"/>
      <c r="P542" s="24"/>
    </row>
    <row r="543">
      <c r="J543" s="23"/>
      <c r="K543" s="23"/>
      <c r="P543" s="24"/>
    </row>
    <row r="544">
      <c r="J544" s="23"/>
      <c r="K544" s="23"/>
      <c r="P544" s="24"/>
    </row>
    <row r="545">
      <c r="J545" s="23"/>
      <c r="K545" s="23"/>
      <c r="P545" s="24"/>
    </row>
    <row r="546">
      <c r="J546" s="23"/>
      <c r="K546" s="23"/>
      <c r="P546" s="24"/>
    </row>
    <row r="547">
      <c r="J547" s="23"/>
      <c r="K547" s="23"/>
      <c r="P547" s="24"/>
    </row>
    <row r="548">
      <c r="J548" s="23"/>
      <c r="K548" s="23"/>
      <c r="P548" s="24"/>
    </row>
    <row r="549">
      <c r="J549" s="23"/>
      <c r="K549" s="23"/>
      <c r="P549" s="24"/>
    </row>
    <row r="550">
      <c r="J550" s="23"/>
      <c r="K550" s="23"/>
      <c r="P550" s="24"/>
    </row>
    <row r="551">
      <c r="J551" s="23"/>
      <c r="K551" s="23"/>
      <c r="P551" s="24"/>
    </row>
    <row r="552">
      <c r="J552" s="23"/>
      <c r="K552" s="23"/>
      <c r="P552" s="24"/>
    </row>
    <row r="553">
      <c r="J553" s="23"/>
      <c r="K553" s="23"/>
      <c r="P553" s="24"/>
    </row>
    <row r="554">
      <c r="J554" s="23"/>
      <c r="K554" s="23"/>
      <c r="P554" s="24"/>
    </row>
    <row r="555">
      <c r="J555" s="23"/>
      <c r="K555" s="23"/>
      <c r="P555" s="24"/>
    </row>
    <row r="556">
      <c r="J556" s="23"/>
      <c r="K556" s="23"/>
      <c r="P556" s="24"/>
    </row>
    <row r="557">
      <c r="J557" s="23"/>
      <c r="K557" s="23"/>
      <c r="P557" s="24"/>
    </row>
    <row r="558">
      <c r="J558" s="23"/>
      <c r="K558" s="23"/>
      <c r="P558" s="24"/>
    </row>
    <row r="559">
      <c r="J559" s="23"/>
      <c r="K559" s="23"/>
      <c r="P559" s="24"/>
    </row>
    <row r="560">
      <c r="J560" s="23"/>
      <c r="K560" s="23"/>
      <c r="P560" s="24"/>
    </row>
    <row r="561">
      <c r="J561" s="23"/>
      <c r="K561" s="23"/>
      <c r="P561" s="24"/>
    </row>
    <row r="562">
      <c r="J562" s="23"/>
      <c r="K562" s="23"/>
      <c r="P562" s="24"/>
    </row>
    <row r="563">
      <c r="J563" s="23"/>
      <c r="K563" s="23"/>
      <c r="P563" s="24"/>
    </row>
    <row r="564">
      <c r="J564" s="23"/>
      <c r="K564" s="23"/>
      <c r="P564" s="24"/>
    </row>
    <row r="565">
      <c r="J565" s="23"/>
      <c r="K565" s="23"/>
      <c r="P565" s="24"/>
    </row>
    <row r="566">
      <c r="J566" s="23"/>
      <c r="K566" s="23"/>
      <c r="P566" s="24"/>
    </row>
    <row r="567">
      <c r="J567" s="23"/>
      <c r="K567" s="23"/>
      <c r="P567" s="24"/>
    </row>
    <row r="568">
      <c r="J568" s="23"/>
      <c r="K568" s="23"/>
      <c r="P568" s="24"/>
    </row>
    <row r="569">
      <c r="J569" s="23"/>
      <c r="K569" s="23"/>
      <c r="P569" s="24"/>
    </row>
    <row r="570">
      <c r="J570" s="23"/>
      <c r="K570" s="23"/>
      <c r="P570" s="24"/>
    </row>
    <row r="571">
      <c r="J571" s="23"/>
      <c r="K571" s="23"/>
      <c r="P571" s="24"/>
    </row>
    <row r="572">
      <c r="J572" s="23"/>
      <c r="K572" s="23"/>
      <c r="P572" s="24"/>
    </row>
    <row r="573">
      <c r="J573" s="23"/>
      <c r="K573" s="23"/>
      <c r="P573" s="24"/>
    </row>
    <row r="574">
      <c r="J574" s="23"/>
      <c r="K574" s="23"/>
      <c r="P574" s="24"/>
    </row>
    <row r="575">
      <c r="J575" s="23"/>
      <c r="K575" s="23"/>
      <c r="P575" s="24"/>
    </row>
    <row r="576">
      <c r="J576" s="23"/>
      <c r="K576" s="23"/>
      <c r="P576" s="24"/>
    </row>
    <row r="577">
      <c r="J577" s="23"/>
      <c r="K577" s="23"/>
      <c r="P577" s="24"/>
    </row>
    <row r="578">
      <c r="J578" s="23"/>
      <c r="K578" s="23"/>
      <c r="P578" s="24"/>
    </row>
    <row r="579">
      <c r="J579" s="23"/>
      <c r="K579" s="23"/>
      <c r="P579" s="24"/>
    </row>
    <row r="580">
      <c r="J580" s="23"/>
      <c r="K580" s="23"/>
      <c r="P580" s="24"/>
    </row>
    <row r="581">
      <c r="J581" s="23"/>
      <c r="K581" s="23"/>
      <c r="P581" s="24"/>
    </row>
    <row r="582">
      <c r="J582" s="23"/>
      <c r="K582" s="23"/>
      <c r="P582" s="24"/>
    </row>
    <row r="583">
      <c r="J583" s="23"/>
      <c r="K583" s="23"/>
      <c r="P583" s="24"/>
    </row>
    <row r="584">
      <c r="J584" s="23"/>
      <c r="K584" s="23"/>
      <c r="P584" s="24"/>
    </row>
    <row r="585">
      <c r="J585" s="23"/>
      <c r="K585" s="23"/>
      <c r="P585" s="24"/>
    </row>
    <row r="586">
      <c r="J586" s="23"/>
      <c r="K586" s="23"/>
      <c r="P586" s="24"/>
    </row>
    <row r="587">
      <c r="J587" s="23"/>
      <c r="K587" s="23"/>
      <c r="P587" s="24"/>
    </row>
    <row r="588">
      <c r="J588" s="23"/>
      <c r="K588" s="23"/>
      <c r="P588" s="24"/>
    </row>
    <row r="589">
      <c r="J589" s="23"/>
      <c r="K589" s="23"/>
      <c r="P589" s="24"/>
    </row>
    <row r="590">
      <c r="J590" s="23"/>
      <c r="K590" s="23"/>
      <c r="P590" s="24"/>
    </row>
    <row r="591">
      <c r="J591" s="23"/>
      <c r="K591" s="23"/>
      <c r="P591" s="24"/>
    </row>
    <row r="592">
      <c r="J592" s="23"/>
      <c r="K592" s="23"/>
      <c r="P592" s="24"/>
    </row>
    <row r="593">
      <c r="J593" s="23"/>
      <c r="K593" s="23"/>
      <c r="P593" s="24"/>
    </row>
    <row r="594">
      <c r="J594" s="23"/>
      <c r="K594" s="23"/>
      <c r="P594" s="24"/>
    </row>
    <row r="595">
      <c r="J595" s="23"/>
      <c r="K595" s="23"/>
      <c r="P595" s="24"/>
    </row>
    <row r="596">
      <c r="J596" s="23"/>
      <c r="K596" s="23"/>
      <c r="P596" s="24"/>
    </row>
    <row r="597">
      <c r="J597" s="23"/>
      <c r="K597" s="23"/>
      <c r="P597" s="24"/>
    </row>
    <row r="598">
      <c r="J598" s="23"/>
      <c r="K598" s="23"/>
      <c r="P598" s="24"/>
    </row>
    <row r="599">
      <c r="J599" s="23"/>
      <c r="K599" s="23"/>
      <c r="P599" s="24"/>
    </row>
    <row r="600">
      <c r="J600" s="23"/>
      <c r="K600" s="23"/>
      <c r="P600" s="24"/>
    </row>
    <row r="601">
      <c r="J601" s="23"/>
      <c r="K601" s="23"/>
      <c r="P601" s="24"/>
    </row>
    <row r="602">
      <c r="J602" s="23"/>
      <c r="K602" s="23"/>
      <c r="P602" s="24"/>
    </row>
    <row r="603">
      <c r="J603" s="23"/>
      <c r="K603" s="23"/>
      <c r="P603" s="24"/>
    </row>
    <row r="604">
      <c r="J604" s="23"/>
      <c r="K604" s="23"/>
      <c r="P604" s="24"/>
    </row>
    <row r="605">
      <c r="J605" s="23"/>
      <c r="K605" s="23"/>
      <c r="P605" s="24"/>
    </row>
    <row r="606">
      <c r="J606" s="23"/>
      <c r="K606" s="23"/>
      <c r="P606" s="24"/>
    </row>
    <row r="607">
      <c r="J607" s="23"/>
      <c r="K607" s="23"/>
      <c r="P607" s="24"/>
    </row>
    <row r="608">
      <c r="J608" s="23"/>
      <c r="K608" s="23"/>
      <c r="P608" s="24"/>
    </row>
    <row r="609">
      <c r="J609" s="23"/>
      <c r="K609" s="23"/>
      <c r="P609" s="24"/>
    </row>
    <row r="610">
      <c r="J610" s="23"/>
      <c r="K610" s="23"/>
      <c r="P610" s="24"/>
    </row>
    <row r="611">
      <c r="J611" s="23"/>
      <c r="K611" s="23"/>
      <c r="P611" s="24"/>
    </row>
    <row r="612">
      <c r="J612" s="23"/>
      <c r="K612" s="23"/>
      <c r="P612" s="24"/>
    </row>
    <row r="613">
      <c r="J613" s="23"/>
      <c r="K613" s="23"/>
      <c r="P613" s="24"/>
    </row>
    <row r="614">
      <c r="J614" s="23"/>
      <c r="K614" s="23"/>
      <c r="P614" s="24"/>
    </row>
    <row r="615">
      <c r="J615" s="23"/>
      <c r="K615" s="23"/>
      <c r="P615" s="24"/>
    </row>
    <row r="616">
      <c r="J616" s="23"/>
      <c r="K616" s="23"/>
      <c r="P616" s="24"/>
    </row>
    <row r="617">
      <c r="J617" s="23"/>
      <c r="K617" s="23"/>
      <c r="P617" s="24"/>
    </row>
    <row r="618">
      <c r="J618" s="23"/>
      <c r="K618" s="23"/>
      <c r="P618" s="24"/>
    </row>
    <row r="619">
      <c r="J619" s="23"/>
      <c r="K619" s="23"/>
      <c r="P619" s="24"/>
    </row>
    <row r="620">
      <c r="J620" s="23"/>
      <c r="K620" s="23"/>
      <c r="P620" s="24"/>
    </row>
    <row r="621">
      <c r="J621" s="23"/>
      <c r="K621" s="23"/>
      <c r="P621" s="24"/>
    </row>
    <row r="622">
      <c r="J622" s="23"/>
      <c r="K622" s="23"/>
      <c r="P622" s="24"/>
    </row>
    <row r="623">
      <c r="J623" s="23"/>
      <c r="K623" s="23"/>
      <c r="P623" s="24"/>
    </row>
    <row r="624">
      <c r="J624" s="23"/>
      <c r="K624" s="23"/>
      <c r="P624" s="24"/>
    </row>
    <row r="625">
      <c r="J625" s="23"/>
      <c r="K625" s="23"/>
      <c r="P625" s="24"/>
    </row>
    <row r="626">
      <c r="J626" s="23"/>
      <c r="K626" s="23"/>
      <c r="P626" s="24"/>
    </row>
    <row r="627">
      <c r="J627" s="23"/>
      <c r="K627" s="23"/>
      <c r="P627" s="24"/>
    </row>
    <row r="628">
      <c r="J628" s="23"/>
      <c r="K628" s="23"/>
      <c r="P628" s="24"/>
    </row>
    <row r="629">
      <c r="J629" s="23"/>
      <c r="K629" s="23"/>
      <c r="P629" s="24"/>
    </row>
    <row r="630">
      <c r="J630" s="23"/>
      <c r="K630" s="23"/>
      <c r="P630" s="24"/>
    </row>
    <row r="631">
      <c r="J631" s="23"/>
      <c r="K631" s="23"/>
      <c r="P631" s="24"/>
    </row>
    <row r="632">
      <c r="J632" s="23"/>
      <c r="K632" s="23"/>
      <c r="P632" s="24"/>
    </row>
    <row r="633">
      <c r="J633" s="23"/>
      <c r="K633" s="23"/>
      <c r="P633" s="24"/>
    </row>
    <row r="634">
      <c r="J634" s="23"/>
      <c r="K634" s="23"/>
      <c r="P634" s="24"/>
    </row>
    <row r="635">
      <c r="J635" s="23"/>
      <c r="K635" s="23"/>
      <c r="P635" s="24"/>
    </row>
    <row r="636">
      <c r="J636" s="23"/>
      <c r="K636" s="23"/>
      <c r="P636" s="24"/>
    </row>
    <row r="637">
      <c r="J637" s="23"/>
      <c r="K637" s="23"/>
      <c r="P637" s="24"/>
    </row>
    <row r="638">
      <c r="J638" s="23"/>
      <c r="K638" s="23"/>
      <c r="P638" s="24"/>
    </row>
    <row r="639">
      <c r="J639" s="23"/>
      <c r="K639" s="23"/>
      <c r="P639" s="24"/>
    </row>
    <row r="640">
      <c r="J640" s="23"/>
      <c r="K640" s="23"/>
      <c r="P640" s="24"/>
    </row>
    <row r="641">
      <c r="J641" s="23"/>
      <c r="K641" s="23"/>
      <c r="P641" s="24"/>
    </row>
    <row r="642">
      <c r="J642" s="23"/>
      <c r="K642" s="23"/>
      <c r="P642" s="24"/>
    </row>
    <row r="643">
      <c r="J643" s="23"/>
      <c r="K643" s="23"/>
      <c r="P643" s="24"/>
    </row>
    <row r="644">
      <c r="J644" s="23"/>
      <c r="K644" s="23"/>
      <c r="P644" s="24"/>
    </row>
    <row r="645">
      <c r="J645" s="23"/>
      <c r="K645" s="23"/>
      <c r="P645" s="24"/>
    </row>
    <row r="646">
      <c r="J646" s="23"/>
      <c r="K646" s="23"/>
      <c r="P646" s="24"/>
    </row>
    <row r="647">
      <c r="J647" s="23"/>
      <c r="K647" s="23"/>
      <c r="P647" s="24"/>
    </row>
    <row r="648">
      <c r="J648" s="23"/>
      <c r="K648" s="23"/>
      <c r="P648" s="24"/>
    </row>
    <row r="649">
      <c r="J649" s="23"/>
      <c r="K649" s="23"/>
      <c r="P649" s="24"/>
    </row>
    <row r="650">
      <c r="J650" s="23"/>
      <c r="K650" s="23"/>
      <c r="P650" s="24"/>
    </row>
    <row r="651">
      <c r="J651" s="23"/>
      <c r="K651" s="23"/>
      <c r="P651" s="24"/>
    </row>
    <row r="652">
      <c r="J652" s="23"/>
      <c r="K652" s="23"/>
      <c r="P652" s="24"/>
    </row>
    <row r="653">
      <c r="J653" s="23"/>
      <c r="K653" s="23"/>
      <c r="P653" s="24"/>
    </row>
    <row r="654">
      <c r="J654" s="23"/>
      <c r="K654" s="23"/>
      <c r="P654" s="24"/>
    </row>
    <row r="655">
      <c r="J655" s="23"/>
      <c r="K655" s="23"/>
      <c r="P655" s="24"/>
    </row>
    <row r="656">
      <c r="J656" s="23"/>
      <c r="K656" s="23"/>
      <c r="P656" s="24"/>
    </row>
    <row r="657">
      <c r="J657" s="23"/>
      <c r="K657" s="23"/>
      <c r="P657" s="24"/>
    </row>
    <row r="658">
      <c r="J658" s="23"/>
      <c r="K658" s="23"/>
      <c r="P658" s="24"/>
    </row>
    <row r="659">
      <c r="J659" s="23"/>
      <c r="K659" s="23"/>
      <c r="P659" s="24"/>
    </row>
    <row r="660">
      <c r="J660" s="23"/>
      <c r="K660" s="23"/>
      <c r="P660" s="24"/>
    </row>
    <row r="661">
      <c r="J661" s="23"/>
      <c r="K661" s="23"/>
      <c r="P661" s="24"/>
    </row>
    <row r="662">
      <c r="J662" s="23"/>
      <c r="K662" s="23"/>
      <c r="P662" s="24"/>
    </row>
    <row r="663">
      <c r="J663" s="23"/>
      <c r="K663" s="23"/>
      <c r="P663" s="24"/>
    </row>
    <row r="664">
      <c r="J664" s="23"/>
      <c r="K664" s="23"/>
      <c r="P664" s="24"/>
    </row>
    <row r="665">
      <c r="J665" s="23"/>
      <c r="K665" s="23"/>
      <c r="P665" s="24"/>
    </row>
    <row r="666">
      <c r="J666" s="23"/>
      <c r="K666" s="23"/>
      <c r="P666" s="24"/>
    </row>
    <row r="667">
      <c r="J667" s="23"/>
      <c r="K667" s="23"/>
      <c r="P667" s="24"/>
    </row>
    <row r="668">
      <c r="J668" s="23"/>
      <c r="K668" s="23"/>
      <c r="P668" s="24"/>
    </row>
    <row r="669">
      <c r="J669" s="23"/>
      <c r="K669" s="23"/>
      <c r="P669" s="24"/>
    </row>
    <row r="670">
      <c r="J670" s="23"/>
      <c r="K670" s="23"/>
      <c r="P670" s="24"/>
    </row>
    <row r="671">
      <c r="J671" s="23"/>
      <c r="K671" s="23"/>
      <c r="P671" s="24"/>
    </row>
    <row r="672">
      <c r="J672" s="23"/>
      <c r="K672" s="23"/>
      <c r="P672" s="24"/>
    </row>
    <row r="673">
      <c r="J673" s="23"/>
      <c r="K673" s="23"/>
      <c r="P673" s="24"/>
    </row>
    <row r="674">
      <c r="J674" s="23"/>
      <c r="K674" s="23"/>
      <c r="P674" s="24"/>
    </row>
    <row r="675">
      <c r="J675" s="23"/>
      <c r="K675" s="23"/>
      <c r="P675" s="24"/>
    </row>
    <row r="676">
      <c r="J676" s="23"/>
      <c r="K676" s="23"/>
      <c r="P676" s="24"/>
    </row>
    <row r="677">
      <c r="J677" s="23"/>
      <c r="K677" s="23"/>
      <c r="P677" s="24"/>
    </row>
    <row r="678">
      <c r="J678" s="23"/>
      <c r="K678" s="23"/>
      <c r="P678" s="24"/>
    </row>
    <row r="679">
      <c r="J679" s="23"/>
      <c r="K679" s="23"/>
      <c r="P679" s="24"/>
    </row>
    <row r="680">
      <c r="J680" s="23"/>
      <c r="K680" s="23"/>
      <c r="P680" s="24"/>
    </row>
    <row r="681">
      <c r="J681" s="23"/>
      <c r="K681" s="23"/>
      <c r="P681" s="24"/>
    </row>
    <row r="682">
      <c r="J682" s="23"/>
      <c r="K682" s="23"/>
      <c r="P682" s="24"/>
    </row>
    <row r="683">
      <c r="J683" s="23"/>
      <c r="K683" s="23"/>
      <c r="P683" s="24"/>
    </row>
    <row r="684">
      <c r="J684" s="23"/>
      <c r="K684" s="23"/>
      <c r="P684" s="24"/>
    </row>
    <row r="685">
      <c r="J685" s="23"/>
      <c r="K685" s="23"/>
      <c r="P685" s="24"/>
    </row>
    <row r="686">
      <c r="J686" s="23"/>
      <c r="K686" s="23"/>
      <c r="P686" s="24"/>
    </row>
    <row r="687">
      <c r="J687" s="23"/>
      <c r="K687" s="23"/>
      <c r="P687" s="24"/>
    </row>
    <row r="688">
      <c r="J688" s="23"/>
      <c r="K688" s="23"/>
      <c r="P688" s="24"/>
    </row>
    <row r="689">
      <c r="J689" s="23"/>
      <c r="K689" s="23"/>
      <c r="P689" s="24"/>
    </row>
    <row r="690">
      <c r="J690" s="23"/>
      <c r="K690" s="23"/>
      <c r="P690" s="24"/>
    </row>
    <row r="691">
      <c r="J691" s="23"/>
      <c r="K691" s="23"/>
      <c r="P691" s="24"/>
    </row>
    <row r="692">
      <c r="J692" s="23"/>
      <c r="K692" s="23"/>
      <c r="P692" s="24"/>
    </row>
    <row r="693">
      <c r="J693" s="23"/>
      <c r="K693" s="23"/>
      <c r="P693" s="24"/>
    </row>
    <row r="694">
      <c r="J694" s="23"/>
      <c r="K694" s="23"/>
      <c r="P694" s="24"/>
    </row>
    <row r="695">
      <c r="J695" s="23"/>
      <c r="K695" s="23"/>
      <c r="P695" s="24"/>
    </row>
    <row r="696">
      <c r="J696" s="23"/>
      <c r="K696" s="23"/>
      <c r="P696" s="24"/>
    </row>
    <row r="697">
      <c r="J697" s="23"/>
      <c r="K697" s="23"/>
      <c r="P697" s="24"/>
    </row>
    <row r="698">
      <c r="J698" s="23"/>
      <c r="K698" s="23"/>
      <c r="P698" s="24"/>
    </row>
    <row r="699">
      <c r="J699" s="23"/>
      <c r="K699" s="23"/>
      <c r="P699" s="24"/>
    </row>
    <row r="700">
      <c r="J700" s="23"/>
      <c r="K700" s="23"/>
      <c r="P700" s="24"/>
    </row>
    <row r="701">
      <c r="J701" s="23"/>
      <c r="K701" s="23"/>
      <c r="P701" s="24"/>
    </row>
    <row r="702">
      <c r="J702" s="23"/>
      <c r="K702" s="23"/>
      <c r="P702" s="24"/>
    </row>
    <row r="703">
      <c r="J703" s="23"/>
      <c r="K703" s="23"/>
      <c r="P703" s="24"/>
    </row>
    <row r="704">
      <c r="J704" s="23"/>
      <c r="K704" s="23"/>
      <c r="P704" s="24"/>
    </row>
    <row r="705">
      <c r="J705" s="23"/>
      <c r="K705" s="23"/>
      <c r="P705" s="24"/>
    </row>
    <row r="706">
      <c r="J706" s="23"/>
      <c r="K706" s="23"/>
      <c r="P706" s="24"/>
    </row>
    <row r="707">
      <c r="J707" s="23"/>
      <c r="K707" s="23"/>
      <c r="P707" s="24"/>
    </row>
    <row r="708">
      <c r="J708" s="23"/>
      <c r="K708" s="23"/>
      <c r="P708" s="24"/>
    </row>
    <row r="709">
      <c r="J709" s="23"/>
      <c r="K709" s="23"/>
      <c r="P709" s="24"/>
    </row>
    <row r="710">
      <c r="J710" s="23"/>
      <c r="K710" s="23"/>
      <c r="P710" s="24"/>
    </row>
    <row r="711">
      <c r="J711" s="23"/>
      <c r="K711" s="23"/>
      <c r="P711" s="24"/>
    </row>
    <row r="712">
      <c r="J712" s="23"/>
      <c r="K712" s="23"/>
      <c r="P712" s="24"/>
    </row>
    <row r="713">
      <c r="J713" s="23"/>
      <c r="K713" s="23"/>
      <c r="P713" s="24"/>
    </row>
    <row r="714">
      <c r="J714" s="23"/>
      <c r="K714" s="23"/>
      <c r="P714" s="24"/>
    </row>
    <row r="715">
      <c r="J715" s="23"/>
      <c r="K715" s="23"/>
      <c r="P715" s="24"/>
    </row>
    <row r="716">
      <c r="J716" s="23"/>
      <c r="K716" s="23"/>
      <c r="P716" s="24"/>
    </row>
    <row r="717">
      <c r="J717" s="23"/>
      <c r="K717" s="23"/>
      <c r="P717" s="24"/>
    </row>
    <row r="718">
      <c r="J718" s="23"/>
      <c r="K718" s="23"/>
      <c r="P718" s="24"/>
    </row>
    <row r="719">
      <c r="J719" s="23"/>
      <c r="K719" s="23"/>
      <c r="P719" s="24"/>
    </row>
    <row r="720">
      <c r="J720" s="23"/>
      <c r="K720" s="23"/>
      <c r="P720" s="24"/>
    </row>
    <row r="721">
      <c r="J721" s="23"/>
      <c r="K721" s="23"/>
      <c r="P721" s="24"/>
    </row>
    <row r="722">
      <c r="J722" s="23"/>
      <c r="K722" s="23"/>
      <c r="P722" s="24"/>
    </row>
    <row r="723">
      <c r="J723" s="23"/>
      <c r="K723" s="23"/>
      <c r="P723" s="24"/>
    </row>
    <row r="724">
      <c r="J724" s="23"/>
      <c r="K724" s="23"/>
      <c r="P724" s="24"/>
    </row>
    <row r="725">
      <c r="J725" s="23"/>
      <c r="K725" s="23"/>
      <c r="P725" s="24"/>
    </row>
    <row r="726">
      <c r="J726" s="23"/>
      <c r="K726" s="23"/>
      <c r="P726" s="24"/>
    </row>
    <row r="727">
      <c r="J727" s="23"/>
      <c r="K727" s="23"/>
      <c r="P727" s="24"/>
    </row>
    <row r="728">
      <c r="J728" s="23"/>
      <c r="K728" s="23"/>
      <c r="P728" s="24"/>
    </row>
    <row r="729">
      <c r="J729" s="23"/>
      <c r="K729" s="23"/>
      <c r="P729" s="24"/>
    </row>
    <row r="730">
      <c r="J730" s="23"/>
      <c r="K730" s="23"/>
      <c r="P730" s="24"/>
    </row>
    <row r="731">
      <c r="J731" s="23"/>
      <c r="K731" s="23"/>
      <c r="P731" s="24"/>
    </row>
    <row r="732">
      <c r="J732" s="23"/>
      <c r="K732" s="23"/>
      <c r="P732" s="24"/>
    </row>
    <row r="733">
      <c r="J733" s="23"/>
      <c r="K733" s="23"/>
      <c r="P733" s="24"/>
    </row>
    <row r="734">
      <c r="J734" s="23"/>
      <c r="K734" s="23"/>
      <c r="P734" s="24"/>
    </row>
    <row r="735">
      <c r="J735" s="23"/>
      <c r="K735" s="23"/>
      <c r="P735" s="24"/>
    </row>
    <row r="736">
      <c r="J736" s="23"/>
      <c r="K736" s="23"/>
      <c r="P736" s="24"/>
    </row>
    <row r="737">
      <c r="J737" s="23"/>
      <c r="K737" s="23"/>
      <c r="P737" s="24"/>
    </row>
    <row r="738">
      <c r="J738" s="23"/>
      <c r="K738" s="23"/>
      <c r="P738" s="24"/>
    </row>
    <row r="739">
      <c r="J739" s="23"/>
      <c r="K739" s="23"/>
      <c r="P739" s="24"/>
    </row>
    <row r="740">
      <c r="J740" s="23"/>
      <c r="K740" s="23"/>
      <c r="P740" s="24"/>
    </row>
    <row r="741">
      <c r="J741" s="23"/>
      <c r="K741" s="23"/>
      <c r="P741" s="24"/>
    </row>
    <row r="742">
      <c r="J742" s="23"/>
      <c r="K742" s="23"/>
      <c r="P742" s="24"/>
    </row>
    <row r="743">
      <c r="J743" s="23"/>
      <c r="K743" s="23"/>
      <c r="P743" s="24"/>
    </row>
    <row r="744">
      <c r="J744" s="23"/>
      <c r="K744" s="23"/>
      <c r="P744" s="24"/>
    </row>
    <row r="745">
      <c r="J745" s="23"/>
      <c r="K745" s="23"/>
      <c r="P745" s="24"/>
    </row>
    <row r="746">
      <c r="J746" s="23"/>
      <c r="K746" s="23"/>
      <c r="P746" s="24"/>
    </row>
    <row r="747">
      <c r="J747" s="23"/>
      <c r="K747" s="23"/>
      <c r="P747" s="24"/>
    </row>
    <row r="748">
      <c r="J748" s="23"/>
      <c r="K748" s="23"/>
      <c r="P748" s="24"/>
    </row>
    <row r="749">
      <c r="J749" s="23"/>
      <c r="K749" s="23"/>
      <c r="P749" s="24"/>
    </row>
    <row r="750">
      <c r="J750" s="23"/>
      <c r="K750" s="23"/>
      <c r="P750" s="24"/>
    </row>
    <row r="751">
      <c r="J751" s="23"/>
      <c r="K751" s="23"/>
      <c r="P751" s="24"/>
    </row>
    <row r="752">
      <c r="J752" s="23"/>
      <c r="K752" s="23"/>
      <c r="P752" s="24"/>
    </row>
    <row r="753">
      <c r="J753" s="23"/>
      <c r="K753" s="23"/>
      <c r="P753" s="24"/>
    </row>
    <row r="754">
      <c r="J754" s="23"/>
      <c r="K754" s="23"/>
      <c r="P754" s="24"/>
    </row>
    <row r="755">
      <c r="J755" s="23"/>
      <c r="K755" s="23"/>
      <c r="P755" s="24"/>
    </row>
    <row r="756">
      <c r="J756" s="23"/>
      <c r="K756" s="23"/>
      <c r="P756" s="24"/>
    </row>
    <row r="757">
      <c r="J757" s="23"/>
      <c r="K757" s="23"/>
      <c r="P757" s="24"/>
    </row>
    <row r="758">
      <c r="J758" s="23"/>
      <c r="K758" s="23"/>
      <c r="P758" s="24"/>
    </row>
    <row r="759">
      <c r="J759" s="23"/>
      <c r="K759" s="23"/>
      <c r="P759" s="24"/>
    </row>
    <row r="760">
      <c r="J760" s="23"/>
      <c r="K760" s="23"/>
      <c r="P760" s="24"/>
    </row>
    <row r="761">
      <c r="J761" s="23"/>
      <c r="K761" s="23"/>
      <c r="P761" s="24"/>
    </row>
    <row r="762">
      <c r="J762" s="23"/>
      <c r="K762" s="23"/>
      <c r="P762" s="24"/>
    </row>
    <row r="763">
      <c r="J763" s="23"/>
      <c r="K763" s="23"/>
      <c r="P763" s="24"/>
    </row>
    <row r="764">
      <c r="J764" s="23"/>
      <c r="K764" s="23"/>
      <c r="P764" s="24"/>
    </row>
    <row r="765">
      <c r="J765" s="23"/>
      <c r="K765" s="23"/>
      <c r="P765" s="24"/>
    </row>
    <row r="766">
      <c r="J766" s="23"/>
      <c r="K766" s="23"/>
      <c r="P766" s="24"/>
    </row>
    <row r="767">
      <c r="J767" s="23"/>
      <c r="K767" s="23"/>
      <c r="P767" s="24"/>
    </row>
    <row r="768">
      <c r="J768" s="23"/>
      <c r="K768" s="23"/>
      <c r="P768" s="24"/>
    </row>
    <row r="769">
      <c r="J769" s="23"/>
      <c r="K769" s="23"/>
      <c r="P769" s="24"/>
    </row>
    <row r="770">
      <c r="J770" s="23"/>
      <c r="K770" s="23"/>
      <c r="P770" s="24"/>
    </row>
    <row r="771">
      <c r="J771" s="23"/>
      <c r="K771" s="23"/>
      <c r="P771" s="24"/>
    </row>
    <row r="772">
      <c r="J772" s="23"/>
      <c r="K772" s="23"/>
      <c r="P772" s="24"/>
    </row>
    <row r="773">
      <c r="J773" s="23"/>
      <c r="K773" s="23"/>
      <c r="P773" s="24"/>
    </row>
    <row r="774">
      <c r="J774" s="23"/>
      <c r="K774" s="23"/>
      <c r="P774" s="24"/>
    </row>
    <row r="775">
      <c r="J775" s="23"/>
      <c r="K775" s="23"/>
      <c r="P775" s="24"/>
    </row>
    <row r="776">
      <c r="J776" s="23"/>
      <c r="K776" s="23"/>
      <c r="P776" s="24"/>
    </row>
    <row r="777">
      <c r="J777" s="23"/>
      <c r="K777" s="23"/>
      <c r="P777" s="24"/>
    </row>
    <row r="778">
      <c r="J778" s="23"/>
      <c r="K778" s="23"/>
      <c r="P778" s="24"/>
    </row>
    <row r="779">
      <c r="J779" s="23"/>
      <c r="K779" s="23"/>
      <c r="P779" s="24"/>
    </row>
    <row r="780">
      <c r="J780" s="23"/>
      <c r="K780" s="23"/>
      <c r="P780" s="24"/>
    </row>
    <row r="781">
      <c r="J781" s="23"/>
      <c r="K781" s="23"/>
      <c r="P781" s="24"/>
    </row>
    <row r="782">
      <c r="J782" s="23"/>
      <c r="K782" s="23"/>
      <c r="P782" s="24"/>
    </row>
    <row r="783">
      <c r="J783" s="23"/>
      <c r="K783" s="23"/>
      <c r="P783" s="24"/>
    </row>
    <row r="784">
      <c r="J784" s="23"/>
      <c r="K784" s="23"/>
      <c r="P784" s="24"/>
    </row>
    <row r="785">
      <c r="J785" s="23"/>
      <c r="K785" s="23"/>
      <c r="P785" s="24"/>
    </row>
    <row r="786">
      <c r="J786" s="23"/>
      <c r="K786" s="23"/>
      <c r="P786" s="24"/>
    </row>
    <row r="787">
      <c r="J787" s="23"/>
      <c r="K787" s="23"/>
      <c r="P787" s="24"/>
    </row>
    <row r="788">
      <c r="J788" s="23"/>
      <c r="K788" s="23"/>
      <c r="P788" s="24"/>
    </row>
    <row r="789">
      <c r="J789" s="23"/>
      <c r="K789" s="23"/>
      <c r="P789" s="24"/>
    </row>
    <row r="790">
      <c r="J790" s="23"/>
      <c r="K790" s="23"/>
      <c r="P790" s="24"/>
    </row>
    <row r="791">
      <c r="J791" s="23"/>
      <c r="K791" s="23"/>
      <c r="P791" s="24"/>
    </row>
    <row r="792">
      <c r="J792" s="23"/>
      <c r="K792" s="23"/>
      <c r="P792" s="24"/>
    </row>
    <row r="793">
      <c r="J793" s="23"/>
      <c r="K793" s="23"/>
      <c r="P793" s="24"/>
    </row>
    <row r="794">
      <c r="J794" s="23"/>
      <c r="K794" s="23"/>
      <c r="P794" s="24"/>
    </row>
    <row r="795">
      <c r="J795" s="23"/>
      <c r="K795" s="23"/>
      <c r="P795" s="24"/>
    </row>
    <row r="796">
      <c r="J796" s="23"/>
      <c r="K796" s="23"/>
      <c r="P796" s="24"/>
    </row>
    <row r="797">
      <c r="J797" s="23"/>
      <c r="K797" s="23"/>
      <c r="P797" s="24"/>
    </row>
    <row r="798">
      <c r="J798" s="23"/>
      <c r="K798" s="23"/>
      <c r="P798" s="24"/>
    </row>
    <row r="799">
      <c r="J799" s="23"/>
      <c r="K799" s="23"/>
      <c r="P799" s="24"/>
    </row>
    <row r="800">
      <c r="J800" s="23"/>
      <c r="K800" s="23"/>
      <c r="P800" s="24"/>
    </row>
    <row r="801">
      <c r="J801" s="23"/>
      <c r="K801" s="23"/>
      <c r="P801" s="24"/>
    </row>
    <row r="802">
      <c r="J802" s="23"/>
      <c r="K802" s="23"/>
      <c r="P802" s="24"/>
    </row>
    <row r="803">
      <c r="J803" s="23"/>
      <c r="K803" s="23"/>
      <c r="P803" s="24"/>
    </row>
    <row r="804">
      <c r="J804" s="23"/>
      <c r="K804" s="23"/>
      <c r="P804" s="24"/>
    </row>
    <row r="805">
      <c r="J805" s="23"/>
      <c r="K805" s="23"/>
      <c r="P805" s="24"/>
    </row>
    <row r="806">
      <c r="J806" s="23"/>
      <c r="K806" s="23"/>
      <c r="P806" s="24"/>
    </row>
    <row r="807">
      <c r="J807" s="23"/>
      <c r="K807" s="23"/>
      <c r="P807" s="24"/>
    </row>
    <row r="808">
      <c r="J808" s="23"/>
      <c r="K808" s="23"/>
      <c r="P808" s="24"/>
    </row>
    <row r="809">
      <c r="J809" s="23"/>
      <c r="K809" s="23"/>
      <c r="P809" s="24"/>
    </row>
    <row r="810">
      <c r="J810" s="23"/>
      <c r="K810" s="23"/>
      <c r="P810" s="24"/>
    </row>
    <row r="811">
      <c r="J811" s="23"/>
      <c r="K811" s="23"/>
      <c r="P811" s="24"/>
    </row>
    <row r="812">
      <c r="J812" s="23"/>
      <c r="K812" s="23"/>
      <c r="P812" s="24"/>
    </row>
    <row r="813">
      <c r="J813" s="23"/>
      <c r="K813" s="23"/>
      <c r="P813" s="24"/>
    </row>
    <row r="814">
      <c r="J814" s="23"/>
      <c r="K814" s="23"/>
      <c r="P814" s="24"/>
    </row>
    <row r="815">
      <c r="J815" s="23"/>
      <c r="K815" s="23"/>
      <c r="P815" s="24"/>
    </row>
    <row r="816">
      <c r="J816" s="23"/>
      <c r="K816" s="23"/>
      <c r="P816" s="24"/>
    </row>
    <row r="817">
      <c r="J817" s="23"/>
      <c r="K817" s="23"/>
      <c r="P817" s="24"/>
    </row>
    <row r="818">
      <c r="J818" s="23"/>
      <c r="K818" s="23"/>
      <c r="P818" s="24"/>
    </row>
    <row r="819">
      <c r="J819" s="23"/>
      <c r="K819" s="23"/>
      <c r="P819" s="24"/>
    </row>
    <row r="820">
      <c r="J820" s="23"/>
      <c r="K820" s="23"/>
      <c r="P820" s="24"/>
    </row>
    <row r="821">
      <c r="J821" s="23"/>
      <c r="K821" s="23"/>
      <c r="P821" s="24"/>
    </row>
    <row r="822">
      <c r="J822" s="23"/>
      <c r="K822" s="23"/>
      <c r="P822" s="24"/>
    </row>
    <row r="823">
      <c r="J823" s="23"/>
      <c r="K823" s="23"/>
      <c r="P823" s="24"/>
    </row>
    <row r="824">
      <c r="J824" s="23"/>
      <c r="K824" s="23"/>
      <c r="P824" s="24"/>
    </row>
    <row r="825">
      <c r="J825" s="23"/>
      <c r="K825" s="23"/>
      <c r="P825" s="24"/>
    </row>
    <row r="826">
      <c r="J826" s="23"/>
      <c r="K826" s="23"/>
      <c r="P826" s="24"/>
    </row>
    <row r="827">
      <c r="J827" s="23"/>
      <c r="K827" s="23"/>
      <c r="P827" s="24"/>
    </row>
    <row r="828">
      <c r="J828" s="23"/>
      <c r="K828" s="23"/>
      <c r="P828" s="24"/>
    </row>
    <row r="829">
      <c r="J829" s="23"/>
      <c r="K829" s="23"/>
      <c r="P829" s="24"/>
    </row>
    <row r="830">
      <c r="J830" s="23"/>
      <c r="K830" s="23"/>
      <c r="P830" s="24"/>
    </row>
    <row r="831">
      <c r="J831" s="23"/>
      <c r="K831" s="23"/>
      <c r="P831" s="24"/>
    </row>
    <row r="832">
      <c r="J832" s="23"/>
      <c r="K832" s="23"/>
      <c r="P832" s="24"/>
    </row>
    <row r="833">
      <c r="J833" s="23"/>
      <c r="K833" s="23"/>
      <c r="P833" s="24"/>
    </row>
    <row r="834">
      <c r="J834" s="23"/>
      <c r="K834" s="23"/>
      <c r="P834" s="24"/>
    </row>
    <row r="835">
      <c r="J835" s="23"/>
      <c r="K835" s="23"/>
      <c r="P835" s="24"/>
    </row>
    <row r="836">
      <c r="J836" s="23"/>
      <c r="K836" s="23"/>
      <c r="P836" s="24"/>
    </row>
    <row r="837">
      <c r="J837" s="23"/>
      <c r="K837" s="23"/>
      <c r="P837" s="24"/>
    </row>
    <row r="838">
      <c r="J838" s="23"/>
      <c r="K838" s="23"/>
      <c r="P838" s="24"/>
    </row>
    <row r="839">
      <c r="J839" s="23"/>
      <c r="K839" s="23"/>
      <c r="P839" s="24"/>
    </row>
    <row r="840">
      <c r="J840" s="23"/>
      <c r="K840" s="23"/>
      <c r="P840" s="24"/>
    </row>
    <row r="841">
      <c r="J841" s="23"/>
      <c r="K841" s="23"/>
      <c r="P841" s="24"/>
    </row>
    <row r="842">
      <c r="J842" s="23"/>
      <c r="K842" s="23"/>
      <c r="P842" s="24"/>
    </row>
    <row r="843">
      <c r="J843" s="23"/>
      <c r="K843" s="23"/>
      <c r="P843" s="24"/>
    </row>
    <row r="844">
      <c r="J844" s="23"/>
      <c r="K844" s="23"/>
      <c r="P844" s="24"/>
    </row>
    <row r="845">
      <c r="J845" s="23"/>
      <c r="K845" s="23"/>
      <c r="P845" s="24"/>
    </row>
    <row r="846">
      <c r="J846" s="23"/>
      <c r="K846" s="23"/>
      <c r="P846" s="24"/>
    </row>
    <row r="847">
      <c r="J847" s="23"/>
      <c r="K847" s="23"/>
      <c r="P847" s="24"/>
    </row>
    <row r="848">
      <c r="J848" s="23"/>
      <c r="K848" s="23"/>
      <c r="P848" s="24"/>
    </row>
    <row r="849">
      <c r="J849" s="23"/>
      <c r="K849" s="23"/>
      <c r="P849" s="24"/>
    </row>
    <row r="850">
      <c r="J850" s="23"/>
      <c r="K850" s="23"/>
      <c r="P850" s="24"/>
    </row>
    <row r="851">
      <c r="J851" s="23"/>
      <c r="K851" s="23"/>
      <c r="P851" s="24"/>
    </row>
    <row r="852">
      <c r="J852" s="23"/>
      <c r="K852" s="23"/>
      <c r="P852" s="24"/>
    </row>
    <row r="853">
      <c r="J853" s="23"/>
      <c r="K853" s="23"/>
      <c r="P853" s="24"/>
    </row>
    <row r="854">
      <c r="J854" s="23"/>
      <c r="K854" s="23"/>
      <c r="P854" s="24"/>
    </row>
    <row r="855">
      <c r="J855" s="23"/>
      <c r="K855" s="23"/>
      <c r="P855" s="24"/>
    </row>
    <row r="856">
      <c r="J856" s="23"/>
      <c r="K856" s="23"/>
      <c r="P856" s="24"/>
    </row>
    <row r="857">
      <c r="J857" s="23"/>
      <c r="K857" s="23"/>
      <c r="P857" s="24"/>
    </row>
    <row r="858">
      <c r="J858" s="23"/>
      <c r="K858" s="23"/>
      <c r="P858" s="24"/>
    </row>
    <row r="859">
      <c r="J859" s="23"/>
      <c r="K859" s="23"/>
      <c r="P859" s="24"/>
    </row>
    <row r="860">
      <c r="J860" s="23"/>
      <c r="K860" s="23"/>
      <c r="P860" s="24"/>
    </row>
    <row r="861">
      <c r="J861" s="23"/>
      <c r="K861" s="23"/>
      <c r="P861" s="24"/>
    </row>
    <row r="862">
      <c r="J862" s="23"/>
      <c r="K862" s="23"/>
      <c r="P862" s="24"/>
    </row>
    <row r="863">
      <c r="J863" s="23"/>
      <c r="K863" s="23"/>
      <c r="P863" s="24"/>
    </row>
    <row r="864">
      <c r="J864" s="23"/>
      <c r="K864" s="23"/>
      <c r="P864" s="24"/>
    </row>
    <row r="865">
      <c r="J865" s="23"/>
      <c r="K865" s="23"/>
      <c r="P865" s="24"/>
    </row>
    <row r="866">
      <c r="J866" s="23"/>
      <c r="K866" s="23"/>
      <c r="P866" s="24"/>
    </row>
    <row r="867">
      <c r="J867" s="23"/>
      <c r="K867" s="23"/>
      <c r="P867" s="24"/>
    </row>
    <row r="868">
      <c r="J868" s="23"/>
      <c r="K868" s="23"/>
      <c r="P868" s="24"/>
    </row>
    <row r="869">
      <c r="J869" s="23"/>
      <c r="K869" s="23"/>
      <c r="P869" s="24"/>
    </row>
    <row r="870">
      <c r="J870" s="23"/>
      <c r="K870" s="23"/>
      <c r="P870" s="24"/>
    </row>
    <row r="871">
      <c r="J871" s="23"/>
      <c r="K871" s="23"/>
      <c r="P871" s="24"/>
    </row>
    <row r="872">
      <c r="J872" s="23"/>
      <c r="K872" s="23"/>
      <c r="P872" s="24"/>
    </row>
    <row r="873">
      <c r="J873" s="23"/>
      <c r="K873" s="23"/>
      <c r="P873" s="24"/>
    </row>
    <row r="874">
      <c r="J874" s="23"/>
      <c r="K874" s="23"/>
      <c r="P874" s="24"/>
    </row>
    <row r="875">
      <c r="J875" s="23"/>
      <c r="K875" s="23"/>
      <c r="P875" s="24"/>
    </row>
    <row r="876">
      <c r="J876" s="23"/>
      <c r="K876" s="23"/>
      <c r="P876" s="24"/>
    </row>
    <row r="877">
      <c r="J877" s="23"/>
      <c r="K877" s="23"/>
      <c r="P877" s="24"/>
    </row>
    <row r="878">
      <c r="J878" s="23"/>
      <c r="K878" s="23"/>
      <c r="P878" s="24"/>
    </row>
    <row r="879">
      <c r="J879" s="23"/>
      <c r="K879" s="23"/>
      <c r="P879" s="24"/>
    </row>
    <row r="880">
      <c r="J880" s="23"/>
      <c r="K880" s="23"/>
      <c r="P880" s="24"/>
    </row>
    <row r="881">
      <c r="J881" s="23"/>
      <c r="K881" s="23"/>
      <c r="P881" s="24"/>
    </row>
    <row r="882">
      <c r="J882" s="23"/>
      <c r="K882" s="23"/>
      <c r="P882" s="24"/>
    </row>
    <row r="883">
      <c r="J883" s="23"/>
      <c r="K883" s="23"/>
      <c r="P883" s="24"/>
    </row>
    <row r="884">
      <c r="J884" s="23"/>
      <c r="K884" s="23"/>
      <c r="P884" s="24"/>
    </row>
    <row r="885">
      <c r="J885" s="23"/>
      <c r="K885" s="23"/>
      <c r="P885" s="24"/>
    </row>
    <row r="886">
      <c r="J886" s="23"/>
      <c r="K886" s="23"/>
      <c r="P886" s="24"/>
    </row>
    <row r="887">
      <c r="J887" s="23"/>
      <c r="K887" s="23"/>
      <c r="P887" s="24"/>
    </row>
    <row r="888">
      <c r="J888" s="23"/>
      <c r="K888" s="23"/>
      <c r="P888" s="24"/>
    </row>
    <row r="889">
      <c r="J889" s="23"/>
      <c r="K889" s="23"/>
      <c r="P889" s="24"/>
    </row>
    <row r="890">
      <c r="J890" s="23"/>
      <c r="K890" s="23"/>
      <c r="P890" s="24"/>
    </row>
    <row r="891">
      <c r="J891" s="23"/>
      <c r="K891" s="23"/>
      <c r="P891" s="24"/>
    </row>
    <row r="892">
      <c r="J892" s="23"/>
      <c r="K892" s="23"/>
      <c r="P892" s="24"/>
    </row>
    <row r="893">
      <c r="J893" s="23"/>
      <c r="K893" s="23"/>
      <c r="P893" s="24"/>
    </row>
    <row r="894">
      <c r="J894" s="23"/>
      <c r="K894" s="23"/>
      <c r="P894" s="24"/>
    </row>
    <row r="895">
      <c r="J895" s="23"/>
      <c r="K895" s="23"/>
      <c r="P895" s="24"/>
    </row>
    <row r="896">
      <c r="J896" s="23"/>
      <c r="K896" s="23"/>
      <c r="P896" s="24"/>
    </row>
    <row r="897">
      <c r="J897" s="23"/>
      <c r="K897" s="23"/>
      <c r="P897" s="24"/>
    </row>
    <row r="898">
      <c r="J898" s="23"/>
      <c r="K898" s="23"/>
      <c r="P898" s="24"/>
    </row>
    <row r="899">
      <c r="J899" s="23"/>
      <c r="K899" s="23"/>
      <c r="P899" s="24"/>
    </row>
    <row r="900">
      <c r="J900" s="23"/>
      <c r="K900" s="23"/>
      <c r="P900" s="24"/>
    </row>
    <row r="901">
      <c r="J901" s="23"/>
      <c r="K901" s="23"/>
      <c r="P901" s="24"/>
    </row>
    <row r="902">
      <c r="J902" s="23"/>
      <c r="K902" s="23"/>
      <c r="P902" s="24"/>
    </row>
    <row r="903">
      <c r="J903" s="23"/>
      <c r="K903" s="23"/>
      <c r="P903" s="24"/>
    </row>
    <row r="904">
      <c r="J904" s="23"/>
      <c r="K904" s="23"/>
      <c r="P904" s="24"/>
    </row>
    <row r="905">
      <c r="J905" s="23"/>
      <c r="K905" s="23"/>
      <c r="P905" s="24"/>
    </row>
    <row r="906">
      <c r="J906" s="23"/>
      <c r="K906" s="23"/>
      <c r="P906" s="24"/>
    </row>
    <row r="907">
      <c r="J907" s="23"/>
      <c r="K907" s="23"/>
      <c r="P907" s="24"/>
    </row>
    <row r="908">
      <c r="J908" s="23"/>
      <c r="K908" s="23"/>
      <c r="P908" s="24"/>
    </row>
    <row r="909">
      <c r="J909" s="23"/>
      <c r="K909" s="23"/>
      <c r="P909" s="24"/>
    </row>
    <row r="910">
      <c r="J910" s="23"/>
      <c r="K910" s="23"/>
      <c r="P910" s="24"/>
    </row>
    <row r="911">
      <c r="J911" s="23"/>
      <c r="K911" s="23"/>
      <c r="P911" s="24"/>
    </row>
    <row r="912">
      <c r="J912" s="23"/>
      <c r="K912" s="23"/>
      <c r="P912" s="24"/>
    </row>
    <row r="913">
      <c r="J913" s="23"/>
      <c r="K913" s="23"/>
      <c r="P913" s="24"/>
    </row>
    <row r="914">
      <c r="J914" s="23"/>
      <c r="K914" s="23"/>
      <c r="P914" s="24"/>
    </row>
    <row r="915">
      <c r="J915" s="23"/>
      <c r="K915" s="23"/>
      <c r="P915" s="24"/>
    </row>
    <row r="916">
      <c r="J916" s="23"/>
      <c r="K916" s="23"/>
      <c r="P916" s="24"/>
    </row>
    <row r="917">
      <c r="J917" s="23"/>
      <c r="K917" s="23"/>
      <c r="P917" s="24"/>
    </row>
    <row r="918">
      <c r="J918" s="23"/>
      <c r="K918" s="23"/>
      <c r="P918" s="24"/>
    </row>
    <row r="919">
      <c r="J919" s="23"/>
      <c r="K919" s="23"/>
      <c r="P919" s="24"/>
    </row>
    <row r="920">
      <c r="J920" s="23"/>
      <c r="K920" s="23"/>
      <c r="P920" s="24"/>
    </row>
    <row r="921">
      <c r="J921" s="23"/>
      <c r="K921" s="23"/>
      <c r="P921" s="24"/>
    </row>
    <row r="922">
      <c r="J922" s="23"/>
      <c r="K922" s="23"/>
      <c r="P922" s="24"/>
    </row>
    <row r="923">
      <c r="J923" s="23"/>
      <c r="K923" s="23"/>
      <c r="P923" s="24"/>
    </row>
    <row r="924">
      <c r="J924" s="23"/>
      <c r="K924" s="23"/>
      <c r="P924" s="24"/>
    </row>
    <row r="925">
      <c r="J925" s="23"/>
      <c r="K925" s="23"/>
      <c r="P925" s="24"/>
    </row>
    <row r="926">
      <c r="J926" s="23"/>
      <c r="K926" s="23"/>
      <c r="P926" s="24"/>
    </row>
    <row r="927">
      <c r="J927" s="23"/>
      <c r="K927" s="23"/>
      <c r="P927" s="24"/>
    </row>
    <row r="928">
      <c r="J928" s="23"/>
      <c r="K928" s="23"/>
      <c r="P928" s="24"/>
    </row>
    <row r="929">
      <c r="J929" s="23"/>
      <c r="K929" s="23"/>
      <c r="P929" s="24"/>
    </row>
    <row r="930">
      <c r="J930" s="23"/>
      <c r="K930" s="23"/>
      <c r="P930" s="24"/>
    </row>
    <row r="931">
      <c r="J931" s="23"/>
      <c r="K931" s="23"/>
      <c r="P931" s="24"/>
    </row>
    <row r="932">
      <c r="J932" s="23"/>
      <c r="K932" s="23"/>
      <c r="P932" s="24"/>
    </row>
    <row r="933">
      <c r="J933" s="23"/>
      <c r="K933" s="23"/>
      <c r="P933" s="24"/>
    </row>
    <row r="934">
      <c r="J934" s="23"/>
      <c r="K934" s="23"/>
      <c r="P934" s="24"/>
    </row>
    <row r="935">
      <c r="J935" s="23"/>
      <c r="K935" s="23"/>
      <c r="P935" s="24"/>
    </row>
    <row r="936">
      <c r="J936" s="23"/>
      <c r="K936" s="23"/>
      <c r="P936" s="24"/>
    </row>
    <row r="937">
      <c r="J937" s="23"/>
      <c r="K937" s="23"/>
      <c r="P937" s="24"/>
    </row>
    <row r="938">
      <c r="J938" s="23"/>
      <c r="K938" s="23"/>
      <c r="P938" s="24"/>
    </row>
    <row r="939">
      <c r="J939" s="23"/>
      <c r="K939" s="23"/>
      <c r="P939" s="24"/>
    </row>
    <row r="940">
      <c r="J940" s="23"/>
      <c r="K940" s="23"/>
      <c r="P940" s="24"/>
    </row>
    <row r="941">
      <c r="J941" s="23"/>
      <c r="K941" s="23"/>
      <c r="P941" s="24"/>
    </row>
    <row r="942">
      <c r="J942" s="23"/>
      <c r="K942" s="23"/>
      <c r="P942" s="24"/>
    </row>
    <row r="943">
      <c r="J943" s="23"/>
      <c r="K943" s="23"/>
      <c r="P943" s="24"/>
    </row>
    <row r="944">
      <c r="J944" s="23"/>
      <c r="K944" s="23"/>
      <c r="P944" s="24"/>
    </row>
    <row r="945">
      <c r="J945" s="23"/>
      <c r="K945" s="23"/>
      <c r="P945" s="24"/>
    </row>
    <row r="946">
      <c r="J946" s="23"/>
      <c r="K946" s="23"/>
      <c r="P946" s="24"/>
    </row>
    <row r="947">
      <c r="J947" s="23"/>
      <c r="K947" s="23"/>
      <c r="P947" s="24"/>
    </row>
    <row r="948">
      <c r="J948" s="23"/>
      <c r="K948" s="23"/>
      <c r="P948" s="24"/>
    </row>
    <row r="949">
      <c r="J949" s="23"/>
      <c r="K949" s="23"/>
      <c r="P949" s="24"/>
    </row>
    <row r="950">
      <c r="J950" s="23"/>
      <c r="K950" s="23"/>
      <c r="P950" s="24"/>
    </row>
    <row r="951">
      <c r="J951" s="23"/>
      <c r="K951" s="23"/>
      <c r="P951" s="24"/>
    </row>
    <row r="952">
      <c r="J952" s="23"/>
      <c r="K952" s="23"/>
      <c r="P952" s="24"/>
    </row>
    <row r="953">
      <c r="J953" s="23"/>
      <c r="K953" s="23"/>
      <c r="P953" s="24"/>
    </row>
    <row r="954">
      <c r="J954" s="23"/>
      <c r="K954" s="23"/>
      <c r="P954" s="24"/>
    </row>
    <row r="955">
      <c r="J955" s="23"/>
      <c r="K955" s="23"/>
      <c r="P955" s="24"/>
    </row>
    <row r="956">
      <c r="J956" s="23"/>
      <c r="K956" s="23"/>
      <c r="P956" s="24"/>
    </row>
    <row r="957">
      <c r="J957" s="23"/>
      <c r="K957" s="23"/>
      <c r="P957" s="24"/>
    </row>
    <row r="958">
      <c r="J958" s="23"/>
      <c r="K958" s="23"/>
      <c r="P958" s="24"/>
    </row>
    <row r="959">
      <c r="J959" s="23"/>
      <c r="K959" s="23"/>
      <c r="P959" s="24"/>
    </row>
    <row r="960">
      <c r="J960" s="23"/>
      <c r="K960" s="23"/>
      <c r="P960" s="24"/>
    </row>
    <row r="961">
      <c r="J961" s="23"/>
      <c r="K961" s="23"/>
      <c r="P961" s="24"/>
    </row>
    <row r="962">
      <c r="J962" s="23"/>
      <c r="K962" s="23"/>
      <c r="P962" s="24"/>
    </row>
    <row r="963">
      <c r="J963" s="23"/>
      <c r="K963" s="23"/>
      <c r="P963" s="24"/>
    </row>
    <row r="964">
      <c r="J964" s="23"/>
      <c r="K964" s="23"/>
      <c r="P964" s="24"/>
    </row>
    <row r="965">
      <c r="J965" s="23"/>
      <c r="K965" s="23"/>
      <c r="P965" s="24"/>
    </row>
    <row r="966">
      <c r="J966" s="23"/>
      <c r="K966" s="23"/>
      <c r="P966" s="24"/>
    </row>
    <row r="967">
      <c r="J967" s="23"/>
      <c r="K967" s="23"/>
      <c r="P967" s="24"/>
    </row>
    <row r="968">
      <c r="J968" s="23"/>
      <c r="K968" s="23"/>
      <c r="P968" s="24"/>
    </row>
    <row r="969">
      <c r="J969" s="23"/>
      <c r="K969" s="23"/>
      <c r="P969" s="24"/>
    </row>
    <row r="970">
      <c r="J970" s="23"/>
      <c r="K970" s="23"/>
      <c r="P970" s="24"/>
    </row>
    <row r="971">
      <c r="J971" s="23"/>
      <c r="K971" s="23"/>
      <c r="P971" s="24"/>
    </row>
    <row r="972">
      <c r="J972" s="23"/>
      <c r="K972" s="23"/>
      <c r="P972" s="24"/>
    </row>
    <row r="973">
      <c r="J973" s="23"/>
      <c r="K973" s="23"/>
      <c r="P973" s="24"/>
    </row>
    <row r="974">
      <c r="J974" s="23"/>
      <c r="K974" s="23"/>
      <c r="P974" s="24"/>
    </row>
    <row r="975">
      <c r="J975" s="23"/>
      <c r="K975" s="23"/>
      <c r="P975" s="24"/>
    </row>
    <row r="976">
      <c r="J976" s="23"/>
      <c r="K976" s="23"/>
      <c r="P976" s="24"/>
    </row>
    <row r="977">
      <c r="J977" s="23"/>
      <c r="K977" s="23"/>
      <c r="P977" s="24"/>
    </row>
    <row r="978">
      <c r="J978" s="23"/>
      <c r="K978" s="23"/>
      <c r="P978" s="24"/>
    </row>
    <row r="979">
      <c r="J979" s="23"/>
      <c r="K979" s="23"/>
      <c r="P979" s="24"/>
    </row>
    <row r="980">
      <c r="J980" s="23"/>
      <c r="K980" s="23"/>
      <c r="P980" s="24"/>
    </row>
  </sheetData>
  <conditionalFormatting sqref="L1:L980">
    <cfRule type="cellIs" dxfId="0" priority="1" operator="equal">
      <formula>"Draft"</formula>
    </cfRule>
  </conditionalFormatting>
  <conditionalFormatting sqref="L1:L980">
    <cfRule type="cellIs" dxfId="1" priority="2" operator="equal">
      <formula>"Generated"</formula>
    </cfRule>
  </conditionalFormatting>
  <conditionalFormatting sqref="L1:L980">
    <cfRule type="cellIs" dxfId="2" priority="3" operator="equal">
      <formula>"Sent"</formula>
    </cfRule>
  </conditionalFormatting>
  <dataValidations>
    <dataValidation type="custom" allowBlank="1" showDropDown="1" sqref="B2:B15">
      <formula1>OR(NOT(ISERROR(DATEVALUE(B2))), AND(ISNUMBER(B2), LEFT(CELL("format", B2))="D"))</formula1>
    </dataValidation>
    <dataValidation type="custom" allowBlank="1" showDropDown="1" sqref="I2:I15 K2:K15">
      <formula1>AND(ISNUMBER(I2),(NOT(OR(NOT(ISERROR(DATEVALUE(I2))), AND(ISNUMBER(I2), LEFT(CELL("format", I2))="D")))))</formula1>
    </dataValidation>
    <dataValidation type="list" allowBlank="1" sqref="L2:L15">
      <formula1>"Draft,Generated,Sent"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3"/>
    <hyperlink r:id="rId12" ref="M14"/>
    <hyperlink r:id="rId13" ref="M15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9.38"/>
    <col customWidth="1" min="4" max="4" width="14.5"/>
    <col customWidth="1" min="5" max="5" width="29.0"/>
  </cols>
  <sheetData>
    <row r="1" ht="22.5" customHeight="1">
      <c r="A1" s="25" t="s">
        <v>81</v>
      </c>
      <c r="B1" s="25" t="s">
        <v>2</v>
      </c>
      <c r="C1" s="25" t="s">
        <v>3</v>
      </c>
      <c r="D1" s="25" t="s">
        <v>4</v>
      </c>
      <c r="E1" s="25" t="s">
        <v>5</v>
      </c>
    </row>
    <row r="2" ht="22.5" customHeight="1">
      <c r="A2" s="26" t="s">
        <v>82</v>
      </c>
      <c r="B2" s="26" t="s">
        <v>17</v>
      </c>
      <c r="C2" s="27" t="s">
        <v>83</v>
      </c>
      <c r="D2" s="28">
        <f>+1-555-123</f>
        <v>-677</v>
      </c>
      <c r="E2" s="26" t="s">
        <v>20</v>
      </c>
    </row>
    <row r="3" ht="22.5" customHeight="1">
      <c r="A3" s="26" t="s">
        <v>84</v>
      </c>
      <c r="B3" s="26" t="s">
        <v>25</v>
      </c>
      <c r="C3" s="27" t="s">
        <v>85</v>
      </c>
      <c r="D3" s="28">
        <f>+1-555-456</f>
        <v>-1010</v>
      </c>
      <c r="E3" s="26" t="s">
        <v>27</v>
      </c>
    </row>
    <row r="4" ht="22.5" customHeight="1">
      <c r="A4" s="26" t="s">
        <v>86</v>
      </c>
      <c r="B4" s="26" t="s">
        <v>37</v>
      </c>
      <c r="C4" s="27" t="s">
        <v>87</v>
      </c>
      <c r="D4" s="28">
        <f>+1-555-789</f>
        <v>-1343</v>
      </c>
      <c r="E4" s="26" t="s">
        <v>39</v>
      </c>
    </row>
    <row r="5" ht="22.5" customHeight="1">
      <c r="A5" s="26" t="s">
        <v>88</v>
      </c>
      <c r="B5" s="26" t="s">
        <v>31</v>
      </c>
      <c r="C5" s="29" t="s">
        <v>68</v>
      </c>
      <c r="D5" s="26">
        <v>123456.0</v>
      </c>
      <c r="E5" s="26" t="s">
        <v>33</v>
      </c>
    </row>
    <row r="6" ht="22.5" customHeight="1">
      <c r="A6" s="30" t="s">
        <v>89</v>
      </c>
      <c r="B6" s="30" t="s">
        <v>61</v>
      </c>
      <c r="C6" s="31" t="s">
        <v>62</v>
      </c>
      <c r="D6" s="30">
        <v>1234.0</v>
      </c>
      <c r="E6" s="30" t="s">
        <v>63</v>
      </c>
    </row>
    <row r="7" ht="22.5" customHeight="1">
      <c r="A7" s="30" t="s">
        <v>90</v>
      </c>
      <c r="B7" s="30" t="s">
        <v>91</v>
      </c>
      <c r="C7" s="31" t="s">
        <v>92</v>
      </c>
      <c r="D7" s="30">
        <v>789456.0</v>
      </c>
      <c r="E7" s="30" t="s">
        <v>93</v>
      </c>
    </row>
    <row r="8" ht="22.5" customHeight="1">
      <c r="A8" s="30" t="s">
        <v>94</v>
      </c>
      <c r="B8" s="30" t="s">
        <v>49</v>
      </c>
      <c r="C8" s="31" t="s">
        <v>50</v>
      </c>
      <c r="D8" s="30">
        <v>1.23456852E8</v>
      </c>
      <c r="E8" s="30" t="s">
        <v>51</v>
      </c>
    </row>
  </sheetData>
  <hyperlinks>
    <hyperlink r:id="rId1" ref="C2"/>
    <hyperlink r:id="rId2" ref="C3"/>
    <hyperlink r:id="rId3" ref="C4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22.75"/>
    <col customWidth="1" min="4" max="4" width="14.75"/>
  </cols>
  <sheetData>
    <row r="1" ht="22.5" customHeight="1">
      <c r="A1" s="32" t="s">
        <v>95</v>
      </c>
      <c r="B1" s="32" t="s">
        <v>96</v>
      </c>
      <c r="C1" s="32" t="s">
        <v>6</v>
      </c>
      <c r="D1" s="32" t="s">
        <v>97</v>
      </c>
      <c r="E1" s="32" t="s">
        <v>98</v>
      </c>
    </row>
    <row r="2" ht="22.5" customHeight="1">
      <c r="A2" s="26" t="s">
        <v>99</v>
      </c>
      <c r="B2" s="26" t="s">
        <v>100</v>
      </c>
      <c r="C2" s="26" t="s">
        <v>28</v>
      </c>
      <c r="D2" s="26">
        <v>150.0</v>
      </c>
      <c r="E2" s="26" t="s">
        <v>101</v>
      </c>
    </row>
    <row r="3" ht="22.5" customHeight="1">
      <c r="A3" s="26" t="s">
        <v>102</v>
      </c>
      <c r="B3" s="26" t="s">
        <v>103</v>
      </c>
      <c r="C3" s="26" t="s">
        <v>34</v>
      </c>
      <c r="D3" s="26">
        <v>500.0</v>
      </c>
      <c r="E3" s="26" t="s">
        <v>104</v>
      </c>
    </row>
    <row r="4" ht="22.5" customHeight="1">
      <c r="A4" s="26" t="s">
        <v>105</v>
      </c>
      <c r="B4" s="26" t="s">
        <v>106</v>
      </c>
      <c r="C4" s="26" t="s">
        <v>58</v>
      </c>
      <c r="D4" s="26">
        <v>200.0</v>
      </c>
      <c r="E4" s="26" t="s">
        <v>106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41.88"/>
  </cols>
  <sheetData>
    <row r="1" ht="22.5" customHeight="1">
      <c r="A1" s="33" t="s">
        <v>107</v>
      </c>
      <c r="B1" s="33" t="s">
        <v>108</v>
      </c>
    </row>
    <row r="2" ht="22.5" customHeight="1">
      <c r="A2" s="26" t="s">
        <v>109</v>
      </c>
      <c r="B2" s="26" t="s">
        <v>110</v>
      </c>
    </row>
    <row r="3" ht="22.5" customHeight="1">
      <c r="A3" s="26" t="s">
        <v>111</v>
      </c>
      <c r="B3" s="26" t="s">
        <v>112</v>
      </c>
    </row>
    <row r="4" ht="22.5" customHeight="1">
      <c r="A4" s="26" t="s">
        <v>113</v>
      </c>
      <c r="B4" s="26" t="s">
        <v>114</v>
      </c>
    </row>
    <row r="5" ht="22.5" customHeight="1">
      <c r="A5" s="26" t="s">
        <v>115</v>
      </c>
      <c r="B5" s="26" t="b">
        <v>0</v>
      </c>
    </row>
    <row r="6" ht="22.5" customHeight="1">
      <c r="A6" s="26" t="s">
        <v>116</v>
      </c>
      <c r="B6" s="26" t="s">
        <v>117</v>
      </c>
    </row>
    <row r="7" ht="22.5" customHeight="1">
      <c r="A7" s="26" t="s">
        <v>118</v>
      </c>
      <c r="B7" s="26" t="s">
        <v>119</v>
      </c>
    </row>
    <row r="8" ht="22.5" customHeight="1">
      <c r="A8" s="26" t="s">
        <v>120</v>
      </c>
      <c r="B8" s="26">
        <v>4.56789456E8</v>
      </c>
    </row>
    <row r="9" ht="22.5" customHeight="1">
      <c r="A9" s="26" t="s">
        <v>121</v>
      </c>
      <c r="B9" s="26" t="s">
        <v>114</v>
      </c>
    </row>
    <row r="10" ht="22.5" customHeight="1">
      <c r="A10" s="26" t="s">
        <v>122</v>
      </c>
      <c r="B10" s="26" t="s">
        <v>123</v>
      </c>
    </row>
    <row r="11" ht="22.5" customHeight="1">
      <c r="A11" s="26" t="s">
        <v>124</v>
      </c>
      <c r="B11" s="26" t="s">
        <v>125</v>
      </c>
    </row>
    <row r="12" ht="22.5" customHeight="1">
      <c r="A12" s="26" t="s">
        <v>126</v>
      </c>
      <c r="B12" s="26" t="s">
        <v>127</v>
      </c>
    </row>
    <row r="13" ht="22.5" customHeight="1">
      <c r="A13" s="26" t="s">
        <v>128</v>
      </c>
      <c r="B13" s="26" t="s">
        <v>129</v>
      </c>
    </row>
    <row r="14" ht="22.5" customHeight="1">
      <c r="A14" s="34"/>
      <c r="B14" s="3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0"/>
  </cols>
  <sheetData>
    <row r="1">
      <c r="C1" s="35"/>
    </row>
    <row r="2">
      <c r="C2" s="35"/>
    </row>
    <row r="3">
      <c r="B3" s="36" t="s">
        <v>130</v>
      </c>
      <c r="C3" s="37"/>
    </row>
    <row r="4">
      <c r="B4" s="38" t="s">
        <v>131</v>
      </c>
      <c r="C4" s="39">
        <f>COUNTA(Invoices!A:A)</f>
        <v>15</v>
      </c>
    </row>
    <row r="5">
      <c r="B5" s="40" t="s">
        <v>132</v>
      </c>
      <c r="C5" s="41">
        <f>SUM(Invoices!K:K)</f>
        <v>4999</v>
      </c>
    </row>
    <row r="6">
      <c r="B6" s="40" t="s">
        <v>69</v>
      </c>
      <c r="C6" s="41">
        <f>COUNTIF(Invoices!L2:L999,"Draft")</f>
        <v>1</v>
      </c>
    </row>
    <row r="7">
      <c r="B7" s="40" t="s">
        <v>22</v>
      </c>
      <c r="C7" s="41">
        <f>COUNTIF(Invoices!L2:L999,"Generated")</f>
        <v>7</v>
      </c>
    </row>
    <row r="8">
      <c r="B8" s="42" t="s">
        <v>40</v>
      </c>
      <c r="C8" s="43">
        <f>COUNTIF(Invoices!L2:L999,"Sent")</f>
        <v>6</v>
      </c>
    </row>
    <row r="9">
      <c r="C9" s="35"/>
      <c r="H9" s="44" t="s">
        <v>133</v>
      </c>
    </row>
    <row r="10">
      <c r="C10" s="35"/>
    </row>
    <row r="11">
      <c r="C11" s="35"/>
    </row>
    <row r="12">
      <c r="C12" s="35"/>
    </row>
    <row r="13">
      <c r="C13" s="35"/>
    </row>
    <row r="14">
      <c r="C14" s="35"/>
    </row>
    <row r="15">
      <c r="C15" s="35"/>
      <c r="H15" s="44" t="s">
        <v>133</v>
      </c>
    </row>
    <row r="16">
      <c r="C16" s="35"/>
    </row>
    <row r="17">
      <c r="C17" s="35"/>
    </row>
    <row r="18">
      <c r="C18" s="35"/>
    </row>
    <row r="19">
      <c r="C19" s="35"/>
    </row>
    <row r="20">
      <c r="C20" s="35"/>
    </row>
    <row r="21">
      <c r="C21" s="35"/>
    </row>
    <row r="22">
      <c r="C22" s="35"/>
    </row>
    <row r="23">
      <c r="C23" s="35"/>
    </row>
    <row r="24">
      <c r="C24" s="35"/>
    </row>
    <row r="25">
      <c r="C25" s="35"/>
    </row>
    <row r="26">
      <c r="C26" s="35"/>
    </row>
    <row r="27">
      <c r="C27" s="35"/>
    </row>
    <row r="28">
      <c r="C28" s="35"/>
    </row>
    <row r="29">
      <c r="C29" s="35"/>
    </row>
    <row r="30">
      <c r="C30" s="35"/>
    </row>
    <row r="31">
      <c r="C31" s="35"/>
    </row>
    <row r="32">
      <c r="C32" s="35"/>
    </row>
    <row r="33">
      <c r="C33" s="35"/>
    </row>
    <row r="34">
      <c r="C34" s="35"/>
    </row>
    <row r="35">
      <c r="C35" s="35"/>
    </row>
    <row r="36">
      <c r="C36" s="35"/>
    </row>
    <row r="37">
      <c r="C37" s="35"/>
    </row>
    <row r="38">
      <c r="C38" s="35"/>
    </row>
    <row r="39">
      <c r="C39" s="35"/>
    </row>
    <row r="40">
      <c r="C40" s="35"/>
    </row>
    <row r="41">
      <c r="C41" s="35"/>
    </row>
    <row r="42">
      <c r="C42" s="35"/>
    </row>
    <row r="43">
      <c r="C43" s="35"/>
    </row>
    <row r="44">
      <c r="C44" s="35"/>
    </row>
    <row r="45">
      <c r="C45" s="35"/>
    </row>
    <row r="46">
      <c r="C46" s="35"/>
    </row>
    <row r="47">
      <c r="C47" s="35"/>
    </row>
    <row r="48">
      <c r="C48" s="35"/>
    </row>
    <row r="49">
      <c r="C49" s="35"/>
    </row>
    <row r="50">
      <c r="C50" s="35"/>
    </row>
    <row r="51">
      <c r="C51" s="35"/>
    </row>
    <row r="52">
      <c r="C52" s="35"/>
    </row>
    <row r="53">
      <c r="C53" s="35"/>
    </row>
    <row r="54">
      <c r="C54" s="35"/>
    </row>
    <row r="55">
      <c r="C55" s="35"/>
    </row>
    <row r="56">
      <c r="C56" s="35"/>
    </row>
    <row r="57">
      <c r="C57" s="35"/>
    </row>
    <row r="58">
      <c r="C58" s="35"/>
    </row>
    <row r="59">
      <c r="C59" s="35"/>
    </row>
    <row r="60">
      <c r="C60" s="35"/>
    </row>
    <row r="61">
      <c r="C61" s="35"/>
    </row>
    <row r="62">
      <c r="C62" s="35"/>
    </row>
    <row r="63">
      <c r="C63" s="35"/>
    </row>
    <row r="64">
      <c r="C64" s="35"/>
    </row>
    <row r="65">
      <c r="C65" s="35"/>
    </row>
    <row r="66">
      <c r="C66" s="35"/>
    </row>
    <row r="67">
      <c r="C67" s="35"/>
    </row>
    <row r="68">
      <c r="C68" s="35"/>
    </row>
    <row r="69">
      <c r="C69" s="35"/>
    </row>
    <row r="70">
      <c r="C70" s="35"/>
    </row>
    <row r="71">
      <c r="C71" s="35"/>
    </row>
    <row r="72">
      <c r="C72" s="35"/>
    </row>
    <row r="73">
      <c r="C73" s="35"/>
    </row>
    <row r="74">
      <c r="C74" s="35"/>
    </row>
    <row r="75">
      <c r="C75" s="35"/>
    </row>
    <row r="76">
      <c r="C76" s="35"/>
    </row>
    <row r="77">
      <c r="C77" s="35"/>
    </row>
    <row r="78">
      <c r="C78" s="35"/>
    </row>
    <row r="79">
      <c r="C79" s="35"/>
    </row>
    <row r="80">
      <c r="C80" s="35"/>
    </row>
    <row r="81">
      <c r="C81" s="35"/>
    </row>
    <row r="82">
      <c r="C82" s="35"/>
    </row>
    <row r="83">
      <c r="C83" s="35"/>
    </row>
    <row r="84">
      <c r="C84" s="35"/>
    </row>
    <row r="85">
      <c r="C85" s="35"/>
    </row>
    <row r="86">
      <c r="C86" s="35"/>
    </row>
    <row r="87">
      <c r="C87" s="35"/>
    </row>
    <row r="88">
      <c r="C88" s="35"/>
    </row>
    <row r="89">
      <c r="C89" s="35"/>
    </row>
    <row r="90">
      <c r="C90" s="35"/>
    </row>
    <row r="91">
      <c r="C91" s="35"/>
    </row>
    <row r="92">
      <c r="C92" s="35"/>
    </row>
    <row r="93">
      <c r="C93" s="35"/>
    </row>
    <row r="94">
      <c r="C94" s="35"/>
    </row>
    <row r="95">
      <c r="C95" s="35"/>
    </row>
    <row r="96">
      <c r="C96" s="35"/>
    </row>
    <row r="97">
      <c r="C97" s="35"/>
    </row>
    <row r="98">
      <c r="C98" s="35"/>
    </row>
    <row r="99">
      <c r="C99" s="35"/>
    </row>
    <row r="100">
      <c r="C100" s="35"/>
    </row>
    <row r="101">
      <c r="C101" s="35"/>
    </row>
    <row r="102">
      <c r="C102" s="35"/>
    </row>
    <row r="103">
      <c r="C103" s="35"/>
    </row>
    <row r="104">
      <c r="C104" s="35"/>
    </row>
    <row r="105">
      <c r="C105" s="35"/>
    </row>
    <row r="106">
      <c r="C106" s="35"/>
    </row>
    <row r="107">
      <c r="C107" s="35"/>
    </row>
    <row r="108">
      <c r="C108" s="35"/>
    </row>
    <row r="109">
      <c r="C109" s="35"/>
    </row>
    <row r="110">
      <c r="C110" s="35"/>
    </row>
    <row r="111">
      <c r="C111" s="35"/>
    </row>
    <row r="112">
      <c r="C112" s="35"/>
    </row>
    <row r="113">
      <c r="C113" s="35"/>
    </row>
    <row r="114">
      <c r="C114" s="35"/>
    </row>
    <row r="115">
      <c r="C115" s="35"/>
    </row>
    <row r="116">
      <c r="C116" s="35"/>
    </row>
    <row r="117">
      <c r="C117" s="35"/>
    </row>
    <row r="118">
      <c r="C118" s="35"/>
    </row>
    <row r="119">
      <c r="C119" s="35"/>
    </row>
    <row r="120">
      <c r="C120" s="35"/>
    </row>
    <row r="121">
      <c r="C121" s="35"/>
    </row>
    <row r="122">
      <c r="C122" s="35"/>
    </row>
    <row r="123">
      <c r="C123" s="35"/>
    </row>
    <row r="124">
      <c r="C124" s="35"/>
    </row>
    <row r="125">
      <c r="C125" s="35"/>
    </row>
    <row r="126">
      <c r="C126" s="35"/>
    </row>
    <row r="127">
      <c r="C127" s="35"/>
    </row>
    <row r="128">
      <c r="C128" s="35"/>
    </row>
    <row r="129">
      <c r="C129" s="35"/>
    </row>
    <row r="130">
      <c r="C130" s="35"/>
    </row>
    <row r="131">
      <c r="C131" s="35"/>
    </row>
    <row r="132">
      <c r="C132" s="35"/>
    </row>
    <row r="133">
      <c r="C133" s="35"/>
    </row>
    <row r="134">
      <c r="C134" s="35"/>
    </row>
    <row r="135">
      <c r="C135" s="35"/>
    </row>
    <row r="136">
      <c r="C136" s="35"/>
    </row>
    <row r="137">
      <c r="C137" s="35"/>
    </row>
    <row r="138">
      <c r="C138" s="35"/>
    </row>
    <row r="139">
      <c r="C139" s="35"/>
    </row>
    <row r="140">
      <c r="C140" s="35"/>
    </row>
    <row r="141">
      <c r="C141" s="35"/>
    </row>
    <row r="142">
      <c r="C142" s="35"/>
    </row>
    <row r="143">
      <c r="C143" s="35"/>
    </row>
    <row r="144">
      <c r="C144" s="35"/>
    </row>
    <row r="145">
      <c r="C145" s="35"/>
    </row>
    <row r="146">
      <c r="C146" s="35"/>
    </row>
    <row r="147">
      <c r="C147" s="35"/>
    </row>
    <row r="148">
      <c r="C148" s="35"/>
    </row>
    <row r="149">
      <c r="C149" s="35"/>
    </row>
    <row r="150">
      <c r="C150" s="35"/>
    </row>
    <row r="151">
      <c r="C151" s="35"/>
    </row>
    <row r="152">
      <c r="C152" s="35"/>
    </row>
    <row r="153">
      <c r="C153" s="35"/>
    </row>
    <row r="154">
      <c r="C154" s="35"/>
    </row>
    <row r="155">
      <c r="C155" s="35"/>
    </row>
    <row r="156">
      <c r="C156" s="35"/>
    </row>
    <row r="157">
      <c r="C157" s="35"/>
    </row>
    <row r="158">
      <c r="C158" s="35"/>
    </row>
    <row r="159">
      <c r="C159" s="35"/>
    </row>
    <row r="160">
      <c r="C160" s="35"/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</sheetData>
  <mergeCells count="1">
    <mergeCell ref="B3:C3"/>
  </mergeCells>
  <drawing r:id="rId1"/>
</worksheet>
</file>